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eguranca_trabalho\"/>
    </mc:Choice>
  </mc:AlternateContent>
  <xr:revisionPtr revIDLastSave="0" documentId="13_ncr:1_{40C6D3AD-A74E-4081-B967-A0EF8895C848}" xr6:coauthVersionLast="47" xr6:coauthVersionMax="47" xr10:uidLastSave="{00000000-0000-0000-0000-000000000000}"/>
  <bookViews>
    <workbookView xWindow="28680" yWindow="-120" windowWidth="24240" windowHeight="13020" xr2:uid="{9C8095D7-A436-403C-8B05-2517CCBA8D90}"/>
  </bookViews>
  <sheets>
    <sheet name="AUDITORIA MA" sheetId="1" r:id="rId1"/>
    <sheet name="AUDITORIA ST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'AUDITORIA MA'!$A$2:$H$20</definedName>
    <definedName name="_PRESENCA">#REF!</definedName>
    <definedName name="acao">#REF!</definedName>
    <definedName name="acaonc">#REF!</definedName>
    <definedName name="ALESSANDRO_MENDES_FERREIRA_JUNIOR">#REF!</definedName>
    <definedName name="ameacas">#REF!</definedName>
    <definedName name="Ano_Civil">#REF!</definedName>
    <definedName name="_xlnm.Print_Area" localSheetId="0">'AUDITORIA MA'!$A$1:$T$43</definedName>
    <definedName name="_xlnm.Print_Area" localSheetId="1">'AUDITORIA ST'!$A$1:$W$112</definedName>
    <definedName name="aspe0">#REF!</definedName>
    <definedName name="ativ1">#REF!</definedName>
    <definedName name="ativ10">#REF!</definedName>
    <definedName name="ativ2">#REF!</definedName>
    <definedName name="ativ3">#REF!</definedName>
    <definedName name="ativ4">#REF!</definedName>
    <definedName name="ativ5">#REF!</definedName>
    <definedName name="ativ6">#REF!</definedName>
    <definedName name="ativ7">#REF!</definedName>
    <definedName name="ativ8">#REF!</definedName>
    <definedName name="ativ9">#REF!</definedName>
    <definedName name="AUTORIZADOS">#REF!</definedName>
    <definedName name="bLOQ_DISPOSITIVO_1" localSheetId="0">INDEX('[2]TIPOS DE ENERGIAS E BLOQUEIOS'!$G$2:$G$6,MATCH('[2]MEP-MAPEAMENTO ENERGIA PERIGOSA'!$C$19:$D$19,'[2]TIPOS DE ENERGIAS E BLOQUEIOS'!$F$2:$F$6,0))</definedName>
    <definedName name="bLOQ_DISPOSITIVO_1">INDEX(#REF!,MATCH(#REF!,#REF!,0))</definedName>
    <definedName name="BLOQ_DISPOSITIVO_2" localSheetId="0">INDEX('[2]TIPOS DE ENERGIAS E BLOQUEIOS'!$G$2:$G$6,MATCH('[2]MEP-MAPEAMENTO ENERGIA PERIGOSA'!$C$20:$D$20,'[2]TIPOS DE ENERGIAS E BLOQUEIOS'!$F$2:$F$6,0))</definedName>
    <definedName name="BLOQ_DISPOSITIVO_2">INDEX(#REF!,MATCH(#REF!,#REF!,0))</definedName>
    <definedName name="BLOQ_DISPOSITIVO_3" localSheetId="0">INDEX('[2]TIPOS DE ENERGIAS E BLOQUEIOS'!$G$2:$G$6,MATCH('[2]MEP-MAPEAMENTO ENERGIA PERIGOSA'!$C$21:$D$21,'[2]TIPOS DE ENERGIAS E BLOQUEIOS'!$F$2:$F$6,0))</definedName>
    <definedName name="BLOQ_DISPOSITIVO_3">INDEX(#REF!,MATCH(#REF!,#REF!,0))</definedName>
    <definedName name="BLOQ_DISPOSITIVO_4" localSheetId="0">INDEX('[2]TIPOS DE ENERGIAS E BLOQUEIOS'!$G$2:$G$6,MATCH('[2]MEP-MAPEAMENTO ENERGIA PERIGOSA'!$C$22:$D$22,'[2]TIPOS DE ENERGIAS E BLOQUEIOS'!$F$2:$F$6,0))</definedName>
    <definedName name="BLOQ_DISPOSITIVO_4">INDEX(#REF!,MATCH(#REF!,#REF!,0))</definedName>
    <definedName name="BLOQUEIO_AUTO">#REF!</definedName>
    <definedName name="CADASTRO">#REF!</definedName>
    <definedName name="cipeiros_2019_2020">#REF!</definedName>
    <definedName name="clie1">#REF!</definedName>
    <definedName name="clie10">#REF!</definedName>
    <definedName name="clie2">#REF!</definedName>
    <definedName name="clie3">#REF!</definedName>
    <definedName name="clie4">#REF!</definedName>
    <definedName name="clie5">#REF!</definedName>
    <definedName name="clie6">#REF!</definedName>
    <definedName name="clie7">#REF!</definedName>
    <definedName name="clie8">#REF!</definedName>
    <definedName name="clie9">#REF!</definedName>
    <definedName name="COD_ESOCIAL_TREINAMENTOS">#REF!</definedName>
    <definedName name="comunicacao">#REF!</definedName>
    <definedName name="Conhec0">#REF!</definedName>
    <definedName name="conhecimentos">#REF!</definedName>
    <definedName name="criarmapas">#REF!</definedName>
    <definedName name="DADOS" localSheetId="1">#REF!</definedName>
    <definedName name="DADOS">#REF!</definedName>
    <definedName name="DADOSMAQUINASISM" localSheetId="0">'[2]RELAÇÃO DE MÁQUINAS - DADOS ISM'!$C:$AA</definedName>
    <definedName name="DADOSMAQUINASISM">#REF!</definedName>
    <definedName name="DESCRICAO_RESIDUOS">#REF!</definedName>
    <definedName name="DIOGO_VINICIUS_FERREIRA">#REF!</definedName>
    <definedName name="Dulce_Notícias">#REF!</definedName>
    <definedName name="Dulce_Notícias_WhatsApp">#REF!</definedName>
    <definedName name="Dulce_TV">#REF!</definedName>
    <definedName name="ENERGIA_1" localSheetId="0">INDEX('[2]TIPOS DE ENERGIAS E BLOQUEIOS'!$D$2:$D$8,MATCH('[2]MEP-MAPEAMENTO ENERGIA PERIGOSA'!$C$11:$D$11,'[2]TIPOS DE ENERGIAS E BLOQUEIOS'!$C$2:$C$8,0))</definedName>
    <definedName name="ENERGIA_1">INDEX(#REF!,MATCH(#REF!,#REF!,0))</definedName>
    <definedName name="ENERGIA_2" localSheetId="0">INDEX('[2]TIPOS DE ENERGIAS E BLOQUEIOS'!$D$2:$D$8,MATCH('[2]MEP-MAPEAMENTO ENERGIA PERIGOSA'!$C$12:$D$12,'[2]TIPOS DE ENERGIAS E BLOQUEIOS'!$C$2:$C$8,0))</definedName>
    <definedName name="ENERGIA_2">INDEX(#REF!,MATCH(#REF!,#REF!,0))</definedName>
    <definedName name="ENERGIA_3" localSheetId="0">INDEX('[2]TIPOS DE ENERGIAS E BLOQUEIOS'!$D$2:$D$8,MATCH('[2]MEP-MAPEAMENTO ENERGIA PERIGOSA'!$C$13:$D$13,'[2]TIPOS DE ENERGIAS E BLOQUEIOS'!$C$2:$C$8,0))</definedName>
    <definedName name="ENERGIA_3">INDEX(#REF!,MATCH(#REF!,#REF!,0))</definedName>
    <definedName name="ENERGIA_4" localSheetId="0">INDEX('[2]TIPOS DE ENERGIAS E BLOQUEIOS'!$D$2:$D$8,MATCH('[2]MEP-MAPEAMENTO ENERGIA PERIGOSA'!$C$14:$D$14,'[2]TIPOS DE ENERGIAS E BLOQUEIOS'!$C$2:$C$8,0))</definedName>
    <definedName name="ENERGIA_4">INDEX(#REF!,MATCH(#REF!,#REF!,0))</definedName>
    <definedName name="ENERGIA_5" localSheetId="0">INDEX('[2]TIPOS DE ENERGIAS E BLOQUEIOS'!$D$2:$D$8,MATCH('[2]MEP-MAPEAMENTO ENERGIA PERIGOSA'!$C$15:$D$15,'[2]TIPOS DE ENERGIAS E BLOQUEIOS'!$C$2:$C$8,0))</definedName>
    <definedName name="ENERGIA_5">INDEX(#REF!,MATCH(#REF!,#REF!,0))</definedName>
    <definedName name="epi">#REF!</definedName>
    <definedName name="EPI_1" localSheetId="0">INDEX('[2]INST DE SEGURANÇA EM MAQ NR12'!$G$36:$G$46,MATCH('[2]INST DE SEGURANÇA EM MAQ NR12'!$C$19:$D$19,'[2]INST DE SEGURANÇA EM MAQ NR12'!$F$36:$F$46,0))</definedName>
    <definedName name="EPI_1">INDEX(#REF!,MATCH(#REF!,#REF!,0))</definedName>
    <definedName name="EPI_2" localSheetId="0">INDEX('[2]INST DE SEGURANÇA EM MAQ NR12'!$G$36:$G$46,MATCH('[2]INST DE SEGURANÇA EM MAQ NR12'!$C$20:$D$20,'[2]INST DE SEGURANÇA EM MAQ NR12'!$F$36:$F$46,0))</definedName>
    <definedName name="EPI_2">INDEX(#REF!,MATCH(#REF!,#REF!,0))</definedName>
    <definedName name="EPI_3" localSheetId="0">INDEX('[2]INST DE SEGURANÇA EM MAQ NR12'!$G$36:$G$46,MATCH('[2]INST DE SEGURANÇA EM MAQ NR12'!$C$21:$D$21,'[2]INST DE SEGURANÇA EM MAQ NR12'!$F$36:$F$46,0))</definedName>
    <definedName name="EPI_3">INDEX(#REF!,MATCH(#REF!,#REF!,0))</definedName>
    <definedName name="EPI_4" localSheetId="0">INDEX('[2]INST DE SEGURANÇA EM MAQ NR12'!$G$36:$G$46,MATCH('[2]INST DE SEGURANÇA EM MAQ NR12'!$C$22:$D$22,'[2]INST DE SEGURANÇA EM MAQ NR12'!$F$36:$F$46,0))</definedName>
    <definedName name="EPI_4">INDEX(#REF!,MATCH(#REF!,#REF!,0))</definedName>
    <definedName name="EPI_5" localSheetId="0">INDEX('[2]INST DE SEGURANÇA EM MAQ NR12'!$G$36:$G$46,MATCH('[2]INST DE SEGURANÇA EM MAQ NR12'!$C$23:$D$23,'[2]INST DE SEGURANÇA EM MAQ NR12'!$F$36:$F$46,0))</definedName>
    <definedName name="EPI_5">INDEX(#REF!,MATCH(#REF!,#REF!,0))</definedName>
    <definedName name="equipamentos">#REF!</definedName>
    <definedName name="Externo">#REF!</definedName>
    <definedName name="Facebook_OSID">#REF!</definedName>
    <definedName name="Facebook_Santuário">#REF!</definedName>
    <definedName name="FGHJ" localSheetId="0">INDEX(#REF!,MATCH('[2]INST DE SEGURANÇA EM MAQ NR12'!$F$2,#REF!,0))</definedName>
    <definedName name="FGHJ">INDEX(#REF!,MATCH(#REF!,#REF!,0))</definedName>
    <definedName name="fornec1">#REF!</definedName>
    <definedName name="fornec10">#REF!</definedName>
    <definedName name="fornec2">#REF!</definedName>
    <definedName name="fornec3">#REF!</definedName>
    <definedName name="fornec4">#REF!</definedName>
    <definedName name="fornec5">#REF!</definedName>
    <definedName name="fornec6">#REF!</definedName>
    <definedName name="fornec7">#REF!</definedName>
    <definedName name="fornec8">#REF!</definedName>
    <definedName name="fornec9">#REF!</definedName>
    <definedName name="Gestão_Resíduos">#REF!</definedName>
    <definedName name="get_contexto2">#REF!</definedName>
    <definedName name="get_contexto2_risco">#REF!</definedName>
    <definedName name="ghe." localSheetId="0">'[2]GHE X SETOR X FUNÇÃOX DESC CARG'!#REF!</definedName>
    <definedName name="ghe.">#REF!</definedName>
    <definedName name="GHG">#REF!</definedName>
    <definedName name="Imprensa">#REF!</definedName>
    <definedName name="inicio_ce">#REF!</definedName>
    <definedName name="inicio_ci">#REF!</definedName>
    <definedName name="INSPEÇÃO" localSheetId="1">#REF!</definedName>
    <definedName name="INSPEÇÃO">#REF!</definedName>
    <definedName name="Instagram_OSID">#REF!</definedName>
    <definedName name="Instagram_Santuário">#REF!</definedName>
    <definedName name="instalacao">#REF!</definedName>
    <definedName name="institucional">#REF!</definedName>
    <definedName name="Interno">#REF!</definedName>
    <definedName name="Intranet_OSID">#REF!</definedName>
    <definedName name="LISTA_AUTORIZADOS_BLOQUEIO">#REF!</definedName>
    <definedName name="lista_CA_EPI">#REF!</definedName>
    <definedName name="lista_de_epi">#REF!</definedName>
    <definedName name="LISTA_DE_FUNC">#REF!</definedName>
    <definedName name="LISTA_DE_RESIDUOS">#REF!</definedName>
    <definedName name="lista_fabricantes">#REF!</definedName>
    <definedName name="lista_funcionário">#REF!</definedName>
    <definedName name="lista_funcionarios">#REF!</definedName>
    <definedName name="LISTA_FUNCIONARIOS_EPI">#REF!</definedName>
    <definedName name="LISTA_FUNCIONARIOS2">#REF!</definedName>
    <definedName name="LISTAFUNCIONARIOS">#REF!</definedName>
    <definedName name="Matéria_prima">#REF!</definedName>
    <definedName name="monitoramento">#REF!</definedName>
    <definedName name="Mural_de_comunicações">#REF!</definedName>
    <definedName name="NATHALIA_MONTEIRO_GOMES">#REF!</definedName>
    <definedName name="Núcleo_de_Vídeo">#REF!</definedName>
    <definedName name="Objetivos">#REF!</definedName>
    <definedName name="Objetivos0">#REF!</definedName>
    <definedName name="oportunidade">#REF!</definedName>
    <definedName name="oportunidades">#REF!</definedName>
    <definedName name="oportunidades_processo">#REF!</definedName>
    <definedName name="Outros_externo">#REF!</definedName>
    <definedName name="Outros_Institucional">#REF!</definedName>
    <definedName name="Outros_interno">#REF!</definedName>
    <definedName name="PICTOGRAMA_RISCOS" localSheetId="0">INDEX(#REF!,MATCH('[2]INST DE SEGURANÇA EM MAQ NR12'!$C$15:$D$15,#REF!,0))</definedName>
    <definedName name="PICTOGRAMA_RISCOS" localSheetId="1">INDEX(#REF!,MATCH(#REF!,#REF!,0))</definedName>
    <definedName name="PICTOGRAMA_RISCOS">INDEX(#REF!,MATCH(#REF!,#REF!,0))</definedName>
    <definedName name="planc0">#REF!</definedName>
    <definedName name="pontofraco">#REF!</definedName>
    <definedName name="pontos_fortes">#REF!</definedName>
    <definedName name="proc_ap">#REF!</definedName>
    <definedName name="proc_apo">#REF!</definedName>
    <definedName name="proc_pri">#REF!</definedName>
    <definedName name="proc_prin">#REF!</definedName>
    <definedName name="proc0">#REF!</definedName>
    <definedName name="procant">#REF!</definedName>
    <definedName name="Processo_Ant">#REF!</definedName>
    <definedName name="PRODUTO">#REF!</definedName>
    <definedName name="Programa_de_Rádio">#REF!</definedName>
    <definedName name="proxproc">#REF!</definedName>
    <definedName name="qtd_proc">'[3]Atividades Chaves'!$1:$1048576</definedName>
    <definedName name="recursos_humanos">#REF!</definedName>
    <definedName name="requisitos">#REF!</definedName>
    <definedName name="RESÍDUOS" localSheetId="0">'[2]CADRI - LIMITE ATUAL'!$D$3:$D$30</definedName>
    <definedName name="RESÍDUOS">#REF!</definedName>
    <definedName name="Resíduos_organicos">#REF!</definedName>
    <definedName name="Resíduos_orgânicos" localSheetId="0">'[2]MODELO INVENTARIO DE RESÍDUOS'!#REF!</definedName>
    <definedName name="Resíduos_orgânicos">#REF!</definedName>
    <definedName name="RESIDUOSNOMESIMPLES" localSheetId="0">'[2]MODELO INVENTARIO DE RESÍDUOS'!#REF!</definedName>
    <definedName name="RESIDUOSNOMESIMPLES">#REF!</definedName>
    <definedName name="respons">#REF!</definedName>
    <definedName name="RISCO1" localSheetId="0">INDEX('[2]INST DE SEGURANÇA EM MAQ NR12'!$D$36:$D$51,MATCH('[2]INST DE SEGURANÇA EM MAQ NR12'!$C$11:$D$11,'[2]INST DE SEGURANÇA EM MAQ NR12'!$C$36:$C$51,0))</definedName>
    <definedName name="RISCO1">INDEX(#REF!,MATCH(#REF!,#REF!,0))</definedName>
    <definedName name="RISCO3" localSheetId="0">INDEX('[2]INST DE SEGURANÇA EM MAQ NR12'!$D$36:$D$51,MATCH('[2]INST DE SEGURANÇA EM MAQ NR12'!$C$13:$D$13,'[2]INST DE SEGURANÇA EM MAQ NR12'!$C$36:$C$51,0))</definedName>
    <definedName name="RISCO3">INDEX(#REF!,MATCH(#REF!,#REF!,0))</definedName>
    <definedName name="riscos">#REF!</definedName>
    <definedName name="RISCOS2" localSheetId="0">INDEX('[2]INST DE SEGURANÇA EM MAQ NR12'!$D$36:$D$51,MATCH('[2]INST DE SEGURANÇA EM MAQ NR12'!$C$12:$D$12,'[2]INST DE SEGURANÇA EM MAQ NR12'!$C$36:$C$51,0))</definedName>
    <definedName name="RISCOS2">INDEX(#REF!,MATCH(#REF!,#REF!,0))</definedName>
    <definedName name="RISCOS4" localSheetId="0">INDEX('[2]INST DE SEGURANÇA EM MAQ NR12'!$D$36:$D$51,MATCH('[2]INST DE SEGURANÇA EM MAQ NR12'!$C$14:$D$14,'[2]INST DE SEGURANÇA EM MAQ NR12'!$C$36:$C$51,0))</definedName>
    <definedName name="RISCOS4">INDEX(#REF!,MATCH(#REF!,#REF!,0))</definedName>
    <definedName name="RISCOS5" localSheetId="0">INDEX('[2]INST DE SEGURANÇA EM MAQ NR12'!$D$36:$D$51,MATCH('[2]INST DE SEGURANÇA EM MAQ NR12'!$C$15:$D$15,'[2]INST DE SEGURANÇA EM MAQ NR12'!$C$36:$C$51,0))</definedName>
    <definedName name="RISCOS5">INDEX(#REF!,MATCH(#REF!,#REF!,0))</definedName>
    <definedName name="RISCOSIMAGENS" localSheetId="0">INDEX(#REF!,MATCH('[2]INST DE SEGURANÇA EM MAQ NR12'!$F$2,#REF!,0))</definedName>
    <definedName name="RISCOSIMAGENS" localSheetId="1">INDEX(#REF!,MATCH(#REF!,#REF!,0))</definedName>
    <definedName name="RISCOSIMAGENS">INDEX(#REF!,MATCH(#REF!,#REF!,0))</definedName>
    <definedName name="riscperig">#REF!</definedName>
    <definedName name="said1">#REF!</definedName>
    <definedName name="said10">#REF!</definedName>
    <definedName name="said2">#REF!</definedName>
    <definedName name="said3">#REF!</definedName>
    <definedName name="said4">#REF!</definedName>
    <definedName name="said5">#REF!</definedName>
    <definedName name="said6">#REF!</definedName>
    <definedName name="said7">#REF!</definedName>
    <definedName name="said8">#REF!</definedName>
    <definedName name="said9">#REF!</definedName>
    <definedName name="seq">#REF!</definedName>
    <definedName name="seq_ap">#REF!</definedName>
    <definedName name="Site_OSID">#REF!</definedName>
    <definedName name="Site_Santuário">#REF!</definedName>
    <definedName name="software">#REF!</definedName>
    <definedName name="SOLUÇÃO_SATURADA" localSheetId="0">'[2]MODELO INVENTARIO DE RESÍDUOS'!#REF!</definedName>
    <definedName name="SOLUÇÃO_SATURADA">#REF!</definedName>
    <definedName name="tipo">#REF!</definedName>
    <definedName name="Título1">#REF!</definedName>
    <definedName name="Twitter_OSID">#REF!</definedName>
    <definedName name="Twitter_Santuário">#REF!</definedName>
    <definedName name="YouTube_OSID">#REF!</definedName>
    <definedName name="Z_92A465DF_4BDC_4DF9_A1F2_877370949865_.wvu.FilterData" localSheetId="0" hidden="1">'AUDITORIA MA'!$A$2:$H$20</definedName>
    <definedName name="Z_92A465DF_4BDC_4DF9_A1F2_877370949865_.wvu.FilterData" localSheetId="1" hidden="1">'AUDITORIA ST'!$A$1:$W$88</definedName>
    <definedName name="Z_92A465DF_4BDC_4DF9_A1F2_877370949865_.wvu.PrintArea" localSheetId="0" hidden="1">'AUDITORIA MA'!$A$1:$T$21</definedName>
    <definedName name="Z_92A465DF_4BDC_4DF9_A1F2_877370949865_.wvu.PrintArea" localSheetId="1" hidden="1">'AUDITORIA ST'!$B$1:$W$88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93" i="2" l="1"/>
  <c r="E112" i="2" s="1"/>
  <c r="V93" i="2"/>
  <c r="E111" i="2" s="1"/>
  <c r="U93" i="2"/>
  <c r="E110" i="2" s="1"/>
  <c r="T93" i="2"/>
  <c r="E109" i="2" s="1"/>
  <c r="S93" i="2"/>
  <c r="E108" i="2" s="1"/>
  <c r="R93" i="2"/>
  <c r="E107" i="2" s="1"/>
  <c r="Q93" i="2"/>
  <c r="E106" i="2" s="1"/>
  <c r="P93" i="2"/>
  <c r="E105" i="2" s="1"/>
  <c r="O93" i="2"/>
  <c r="E104" i="2" s="1"/>
  <c r="N93" i="2"/>
  <c r="E103" i="2" s="1"/>
  <c r="M93" i="2"/>
  <c r="E102" i="2" s="1"/>
  <c r="L93" i="2"/>
  <c r="E101" i="2" s="1"/>
  <c r="W92" i="2"/>
  <c r="D112" i="2" s="1"/>
  <c r="V92" i="2"/>
  <c r="D111" i="2" s="1"/>
  <c r="U92" i="2"/>
  <c r="D110" i="2" s="1"/>
  <c r="T92" i="2"/>
  <c r="D109" i="2" s="1"/>
  <c r="S92" i="2"/>
  <c r="D108" i="2" s="1"/>
  <c r="R92" i="2"/>
  <c r="D107" i="2" s="1"/>
  <c r="Q92" i="2"/>
  <c r="D106" i="2" s="1"/>
  <c r="P92" i="2"/>
  <c r="D105" i="2" s="1"/>
  <c r="O92" i="2"/>
  <c r="D104" i="2" s="1"/>
  <c r="N92" i="2"/>
  <c r="D103" i="2" s="1"/>
  <c r="M92" i="2"/>
  <c r="D102" i="2" s="1"/>
  <c r="L92" i="2"/>
  <c r="D101" i="2" s="1"/>
  <c r="W91" i="2"/>
  <c r="C112" i="2" s="1"/>
  <c r="F112" i="2" s="1"/>
  <c r="V91" i="2"/>
  <c r="C111" i="2" s="1"/>
  <c r="F111" i="2" s="1"/>
  <c r="U91" i="2"/>
  <c r="C110" i="2" s="1"/>
  <c r="F110" i="2" s="1"/>
  <c r="T91" i="2"/>
  <c r="C109" i="2" s="1"/>
  <c r="F109" i="2" s="1"/>
  <c r="S91" i="2"/>
  <c r="C108" i="2" s="1"/>
  <c r="F108" i="2" s="1"/>
  <c r="R91" i="2"/>
  <c r="C107" i="2" s="1"/>
  <c r="F107" i="2" s="1"/>
  <c r="Q91" i="2"/>
  <c r="C106" i="2" s="1"/>
  <c r="P91" i="2"/>
  <c r="C105" i="2" s="1"/>
  <c r="F105" i="2" s="1"/>
  <c r="O91" i="2"/>
  <c r="C104" i="2" s="1"/>
  <c r="F104" i="2" s="1"/>
  <c r="N91" i="2"/>
  <c r="C103" i="2" s="1"/>
  <c r="F103" i="2" s="1"/>
  <c r="M91" i="2"/>
  <c r="C102" i="2" s="1"/>
  <c r="F102" i="2" s="1"/>
  <c r="L91" i="2"/>
  <c r="C101" i="2" s="1"/>
  <c r="E32" i="1"/>
  <c r="T24" i="1"/>
  <c r="E39" i="1" s="1"/>
  <c r="S24" i="1"/>
  <c r="E38" i="1" s="1"/>
  <c r="R24" i="1"/>
  <c r="E37" i="1" s="1"/>
  <c r="Q24" i="1"/>
  <c r="E36" i="1" s="1"/>
  <c r="P24" i="1"/>
  <c r="E35" i="1" s="1"/>
  <c r="O24" i="1"/>
  <c r="E34" i="1" s="1"/>
  <c r="N24" i="1"/>
  <c r="E33" i="1" s="1"/>
  <c r="M24" i="1"/>
  <c r="L24" i="1"/>
  <c r="E31" i="1" s="1"/>
  <c r="K24" i="1"/>
  <c r="E30" i="1" s="1"/>
  <c r="J24" i="1"/>
  <c r="E29" i="1" s="1"/>
  <c r="I24" i="1"/>
  <c r="T23" i="1"/>
  <c r="D39" i="1" s="1"/>
  <c r="S23" i="1"/>
  <c r="D38" i="1" s="1"/>
  <c r="G38" i="1" s="1"/>
  <c r="R23" i="1"/>
  <c r="D37" i="1" s="1"/>
  <c r="G37" i="1" s="1"/>
  <c r="Q23" i="1"/>
  <c r="D36" i="1" s="1"/>
  <c r="P23" i="1"/>
  <c r="D35" i="1" s="1"/>
  <c r="O23" i="1"/>
  <c r="D34" i="1" s="1"/>
  <c r="N23" i="1"/>
  <c r="D33" i="1" s="1"/>
  <c r="M23" i="1"/>
  <c r="D32" i="1" s="1"/>
  <c r="L23" i="1"/>
  <c r="D31" i="1" s="1"/>
  <c r="K23" i="1"/>
  <c r="D30" i="1" s="1"/>
  <c r="J23" i="1"/>
  <c r="D29" i="1" s="1"/>
  <c r="I23" i="1"/>
  <c r="D28" i="1" s="1"/>
  <c r="T22" i="1"/>
  <c r="C39" i="1" s="1"/>
  <c r="F39" i="1" s="1"/>
  <c r="S22" i="1"/>
  <c r="C38" i="1" s="1"/>
  <c r="R22" i="1"/>
  <c r="C37" i="1" s="1"/>
  <c r="Q22" i="1"/>
  <c r="C36" i="1" s="1"/>
  <c r="F36" i="1" s="1"/>
  <c r="P22" i="1"/>
  <c r="C35" i="1" s="1"/>
  <c r="O22" i="1"/>
  <c r="C34" i="1" s="1"/>
  <c r="N22" i="1"/>
  <c r="C33" i="1" s="1"/>
  <c r="M22" i="1"/>
  <c r="C32" i="1" s="1"/>
  <c r="L22" i="1"/>
  <c r="C31" i="1" s="1"/>
  <c r="K22" i="1"/>
  <c r="C30" i="1" s="1"/>
  <c r="F30" i="1" s="1"/>
  <c r="J22" i="1"/>
  <c r="C29" i="1" s="1"/>
  <c r="I22" i="1"/>
  <c r="C28" i="1" s="1"/>
  <c r="G34" i="1" l="1"/>
  <c r="F106" i="2"/>
  <c r="G109" i="2"/>
  <c r="F38" i="1"/>
  <c r="G30" i="1"/>
  <c r="F37" i="1"/>
  <c r="F34" i="1"/>
  <c r="U24" i="1"/>
  <c r="E28" i="1"/>
  <c r="F29" i="1"/>
  <c r="G36" i="1"/>
  <c r="G31" i="1"/>
  <c r="G32" i="1"/>
  <c r="F33" i="1"/>
  <c r="G110" i="2"/>
  <c r="G35" i="1"/>
  <c r="F35" i="1"/>
  <c r="F101" i="2"/>
  <c r="C113" i="2"/>
  <c r="G101" i="2"/>
  <c r="D113" i="2"/>
  <c r="G113" i="2" s="1"/>
  <c r="E113" i="2"/>
  <c r="G33" i="1"/>
  <c r="G102" i="2"/>
  <c r="G103" i="2"/>
  <c r="G104" i="2"/>
  <c r="G39" i="1"/>
  <c r="G105" i="2"/>
  <c r="C40" i="1"/>
  <c r="F28" i="1"/>
  <c r="D40" i="1"/>
  <c r="G28" i="1"/>
  <c r="G106" i="2"/>
  <c r="E40" i="1"/>
  <c r="G29" i="1"/>
  <c r="G107" i="2"/>
  <c r="G108" i="2"/>
  <c r="F31" i="1"/>
  <c r="G111" i="2"/>
  <c r="F32" i="1"/>
  <c r="G112" i="2"/>
  <c r="U22" i="1"/>
  <c r="X91" i="2"/>
  <c r="U23" i="1"/>
  <c r="X92" i="2"/>
  <c r="X93" i="2"/>
  <c r="F113" i="2" l="1"/>
  <c r="F40" i="1"/>
  <c r="X94" i="2"/>
  <c r="Y92" i="2" s="1"/>
  <c r="U25" i="1"/>
  <c r="V24" i="1" s="1"/>
  <c r="V22" i="1"/>
  <c r="G40" i="1"/>
  <c r="Y91" i="2" l="1"/>
  <c r="V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tc={55A4CC83-786C-415B-B933-F38F46C6A6BF}</author>
    <author>tc={E28172CE-1A0E-40A2-900C-9404F2013A7C}</author>
    <author>tc={55A9FA2B-2141-4919-ACC7-64741DCE5068}</author>
    <author>tc={5B800F47-D669-4BD5-B9E1-AE3495694F12}</author>
    <author>tc={3FF752A8-9C8B-4A04-B0BA-9C666D3BE78C}</author>
  </authors>
  <commentList>
    <comment ref="R4" authorId="0" shapeId="0" xr:uid="{55A4CC83-786C-415B-B933-F38F46C6A6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NECESSÁRIO IDENTIFICAÇÃO DAS CAÇAMBAS DE DESCARTE. 
Responder:
    EM PROCESSO DE IDENTIFICAÇÃO 
Responder:
    IDENTIFICADO</t>
      </text>
    </comment>
    <comment ref="R5" authorId="1" shapeId="0" xr:uid="{E28172CE-1A0E-40A2-900C-9404F2013A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SEGREGAR PARA MATERIAIS PERIGOSOS
Responder:
    SEGREGADO</t>
      </text>
    </comment>
    <comment ref="L15" authorId="2" shapeId="0" xr:uid="{55A9FA2B-2141-4919-ACC7-64741DCE506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VAZAMENTO MANGUEIRA HC </t>
      </text>
    </comment>
    <comment ref="T16" authorId="3" shapeId="0" xr:uid="{5B800F47-D669-4BD5-B9E1-AE3495694F1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Computadores que ficam ligados a noite/pós expediente, e luz da sala de reunião limão que fica ligada o tempo todo. </t>
      </text>
    </comment>
    <comment ref="R19" authorId="4" shapeId="0" xr:uid="{3FF752A8-9C8B-4A04-B0BA-9C666D3BE78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Será aplicado treinado quanto a conscientização ambiental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tc={5F1A56FA-E282-4DA1-BCF3-0C9FFA811EF2}</author>
    <author>tc={FE2827C9-D521-4905-86BD-65330AF57997}</author>
    <author>tc={4A397C88-CFE9-4A5D-A780-480418599DC2}</author>
    <author>tc={D8597373-D04C-4AFA-B8DE-7974B24F566D}</author>
    <author>tc={5C4ECE46-9D63-46D7-B071-2BAF63395714}</author>
    <author>tc={D4878A9D-461C-4465-961C-8EC5AE03BE19}</author>
    <author>tc={395FB8DC-EE1C-4D54-A965-12664C32D4FD}</author>
    <author>tc={270F4FCA-91F2-461E-B79B-BE1189F6E74A}</author>
    <author>tc={6E3036AF-6B2C-4949-AA8E-1BF3A8416B96}</author>
    <author>tc={68C93ABC-4C45-4A1A-97E7-BBFA1B2CF2D6}</author>
    <author>tc={95185C01-A575-4714-94E6-4FE8712EE17C}</author>
    <author>tc={FB3EF18C-240A-43DC-A7C9-A1593599E5EF}</author>
    <author>tc={FCBE8FA5-F94E-4391-A772-D65588C70EEC}</author>
    <author>tc={B2815B61-D981-413F-A233-15F6C935E55E}</author>
    <author>tc={4CD7CA5E-28A5-41E5-AD18-B15FF16E8CDB}</author>
    <author>tc={9AA881B2-4716-47F2-9FFC-4424789A59D1}</author>
    <author>tc={C74D3101-30B0-464D-96D5-B4FA609ACBD2}</author>
    <author>tc={F97A6A49-0FE9-4DF1-9895-D2C653169E1E}</author>
    <author>tc={63F07F3B-A3F3-4C5C-99E6-FA7265EC800D}</author>
    <author>tc={E69E79A0-B30E-4AE9-8D0C-4B3020A16A80}</author>
    <author>tc={F1EC4E16-8FF0-4A88-96C6-7ED8C8CF6D15}</author>
    <author>tc={68545A45-E170-4AE5-A413-7A2D64FABFA8}</author>
    <author>tc={92CC4351-7479-4899-920B-A97EA559CDE7}</author>
    <author>tc={34558DAC-D3C7-4F55-B7D6-12D5669753D2}</author>
    <author>tc={FCC8919C-1B8C-4C93-B40C-9CA54B2CD59D}</author>
    <author>tc={28D13A4A-891A-425E-A2C0-FBF1E0326DEC}</author>
    <author>tc={828AF8E4-DED4-4AA4-A4DE-61C24BDE0755}</author>
    <author>tc={79B7E5DC-AF7D-470A-91C9-D5C7C194C65D}</author>
    <author>tc={52B86770-9FE4-4616-9741-8CC694D00971}</author>
    <author>tc={AED90E97-BE7B-4424-97C2-14DD2D5A01F7}</author>
    <author>tc={1EDEEA78-045A-4D4A-BA8C-55E692D77F10}</author>
    <author>tc={73C3AEB9-8173-4266-AB22-BDF19498EA92}</author>
    <author>tc={CF805059-4152-4A1D-915F-8D74B9CC10B0}</author>
    <author>tc={FBC0C970-D490-423D-93B0-030010899AA2}</author>
    <author>tc={8752C45F-0888-4CFD-9CCA-6C41516C74C8}</author>
    <author>tc={61844B98-0C83-4D54-A782-02B8A6537A16}</author>
    <author>tc={96410AAC-AD0F-4DCB-A922-6B174CFD1A39}</author>
    <author>tc={FB71E022-6D1B-49EF-A228-4BE43A6A246E}</author>
    <author>tc={82E75906-AF22-47A0-B0DE-96EFA6D8DF7B}</author>
    <author>tc={52D5AA67-CD03-46F1-B702-ED4BC5EEF12C}</author>
    <author>tc={008EAEB6-C607-4B8B-9F4A-2F7372F4E1AD}</author>
    <author>tc={320CB3A4-2D66-4EF1-B6BB-3AC52D1CBA96}</author>
    <author>tc={EB94E573-9668-47A8-9BD2-789D04C81251}</author>
    <author>tc={8A282432-7130-479C-94EF-FF99DAB7C3E5}</author>
  </authors>
  <commentList>
    <comment ref="U3" authorId="0" shapeId="0" xr:uid="{5F1A56FA-E282-4DA1-BCF3-0C9FFA811EF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Escadas inadequadas para NR10 </t>
      </text>
    </comment>
    <comment ref="P4" authorId="1" shapeId="0" xr:uid="{FE2827C9-D521-4905-86BD-65330AF579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de encaixe, e dificuldade para trancar</t>
      </text>
    </comment>
    <comment ref="V4" authorId="2" shapeId="0" xr:uid="{4A397C88-CFE9-4A5D-A780-480418599D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NECESSÁRIO TRANCAR TODAS ESCADAS MARINHEIROS 
Responder:
    ADEQUAR CONFORME ATUALIZAÇÃO DA NORMA</t>
      </text>
    </comment>
    <comment ref="S5" authorId="3" shapeId="0" xr:uid="{D8597373-D04C-4AFA-B8DE-7974B24F566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Area danificada </t>
      </text>
    </comment>
    <comment ref="O6" authorId="4" shapeId="0" xr:uid="{5C4ECE46-9D63-46D7-B071-2BAF6339571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Área nova tem menos luminárias que as antigas, necessário melhoria. </t>
      </text>
    </comment>
    <comment ref="N8" authorId="5" shapeId="0" xr:uid="{D4878A9D-461C-4465-961C-8EC5AE03BE1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fraco, não atuante como antes.
</t>
      </text>
    </comment>
    <comment ref="O8" authorId="6" shapeId="0" xr:uid="{395FB8DC-EE1C-4D54-A965-12664C32D4F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TRAY WASH E SALA DE QUÍMICOS HC </t>
      </text>
    </comment>
    <comment ref="L11" authorId="7" shapeId="0" xr:uid="{270F4FCA-91F2-461E-B79B-BE1189F6E74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Pátio de movimentação de empilhadeiras, com muitos buracos e saliências. </t>
      </text>
    </comment>
    <comment ref="O11" authorId="8" shapeId="0" xr:uid="{6E3036AF-6B2C-4949-AA8E-1BF3A8416B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RALOS DESNIVELADOS</t>
      </text>
    </comment>
    <comment ref="V13" authorId="9" shapeId="0" xr:uid="{68C93ABC-4C45-4A1A-97E7-BBFA1B2CF2D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ESCADA ETE SEM CORRIMÃO
</t>
      </text>
    </comment>
    <comment ref="L14" authorId="10" shapeId="0" xr:uid="{95185C01-A575-4714-94E6-4FE8712EE17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Guarda corpo danificado </t>
      </text>
    </comment>
    <comment ref="T29" authorId="11" shapeId="0" xr:uid="{FB3EF18C-240A-43DC-A7C9-A1593599E5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NECESSÁRIO ETIQUETA LOTO 
Responder:
    feito</t>
      </text>
    </comment>
    <comment ref="L31" authorId="12" shapeId="0" xr:uid="{FCBE8FA5-F94E-4391-A772-D65588C70EE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com manutenção, se todos os painéis possuem. </t>
      </text>
    </comment>
    <comment ref="N31" authorId="13" shapeId="0" xr:uid="{B2815B61-D981-413F-A233-15F6C935E5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com manuteção</t>
      </text>
    </comment>
    <comment ref="P31" authorId="14" shapeId="0" xr:uid="{4CD7CA5E-28A5-41E5-AD18-B15FF16E8C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manut</t>
      </text>
    </comment>
    <comment ref="Q31" authorId="15" shapeId="0" xr:uid="{9AA881B2-4716-47F2-9FFC-4424789A59D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manutenção </t>
      </text>
    </comment>
    <comment ref="L38" authorId="16" shapeId="0" xr:uid="{C74D3101-30B0-464D-96D5-B4FA609ACBD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Empilhadeira Blue Skies
Responder:
    TRANSPALETEIRA
</t>
      </text>
    </comment>
    <comment ref="L43" authorId="17" shapeId="0" xr:uid="{F97A6A49-0FE9-4DF1-9895-D2C653169E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GIROFLEX</t>
      </text>
    </comment>
    <comment ref="L44" authorId="18" shapeId="0" xr:uid="{63F07F3B-A3F3-4C5C-99E6-FA7265EC800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Existe uma bateria quebrada
Responder:
    EMPILHADEIRA BLUE </t>
      </text>
    </comment>
    <comment ref="L48" authorId="19" shapeId="0" xr:uid="{E69E79A0-B30E-4AE9-8D0C-4B3020A16A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GIROFLEX- EMPILHADEIRA BLUE SKIES QUEBRADA</t>
      </text>
    </comment>
    <comment ref="L49" authorId="20" shapeId="0" xr:uid="{F1EC4E16-8FF0-4A88-96C6-7ED8C8CF6D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FREIO DE MÃO COM PROBLEMA</t>
      </text>
    </comment>
    <comment ref="S49" authorId="21" shapeId="0" xr:uid="{68545A45-E170-4AE5-A413-7A2D64FABF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ANTE ESMAGAMENTO OK</t>
      </text>
    </comment>
    <comment ref="L51" authorId="22" shapeId="0" xr:uid="{92CC4351-7479-4899-920B-A97EA559CDE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DANIFICADO VOLANTE </t>
      </text>
    </comment>
    <comment ref="S51" authorId="23" shapeId="0" xr:uid="{34558DAC-D3C7-4F55-B7D6-12D5669753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Timão danificado
Responder:
    arrumado</t>
      </text>
    </comment>
    <comment ref="L55" authorId="24" shapeId="0" xr:uid="{FCC8919C-1B8C-4C93-B40C-9CA54B2CD59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BOTÃO DE EMERGENCIA ÁREA BOA DA ESTEIRA, QUEBRADO 
Responder:
    CORRIGIDO 
</t>
      </text>
    </comment>
    <comment ref="P55" authorId="25" shapeId="0" xr:uid="{28D13A4A-891A-425E-A2C0-FBF1E0326DE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Botão de emergência danificado 
Responder:
    Painel antigo, com ferrugem 
Responder:
    ARRUMADO 
</t>
      </text>
    </comment>
    <comment ref="L59" authorId="26" shapeId="0" xr:uid="{828AF8E4-DED4-4AA4-A4DE-61C24BDE075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Mancais expostos
Responder:
    MOTOR SOLTO DURANTE FUNCIONAMENTO
Responder:
    CORRIGIDO 
Responder:
    MANCAL EXPOSTO </t>
      </text>
    </comment>
    <comment ref="N59" authorId="27" shapeId="0" xr:uid="{79B7E5DC-AF7D-470A-91C9-D5C7C194C6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MANCAL EXPOSTO</t>
      </text>
    </comment>
    <comment ref="O59" authorId="28" shapeId="0" xr:uid="{52B86770-9FE4-4616-9741-8CC694D0097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MANCAL EXPOSTO
Responder:
    PROTEÇÕES DE PARTES AR COMPRIMIDO
Responder:
    MANCAL TRAY WASH 
</t>
      </text>
    </comment>
    <comment ref="Q59" authorId="29" shapeId="0" xr:uid="{AED90E97-BE7B-4424-97C2-14DD2D5A01F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Roletes expostos nas linhas
Responder:
    NECESSÁRIO ADEQUAÇÃO NR 12 SELADORA 
Responder:
    ADEQUAÇÃO LINHAS 
Responder:
    Adequação - seladora nr 12
</t>
      </text>
    </comment>
    <comment ref="U59" authorId="30" shapeId="0" xr:uid="{1EDEEA78-045A-4D4A-BA8C-55E692D77F1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ESMERIL SEM PROTEÇÃO </t>
      </text>
    </comment>
    <comment ref="O60" authorId="31" shapeId="0" xr:uid="{73C3AEB9-8173-4266-AB22-BDF19498EA9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Botões em inglês
Responder:
    BOTÃO DE EMERGENCIA SEM IDENTIFICAÇÃO 
Responder:
    ETIQUETAS EM INGLÊS
Responder:
    CORRIGIDO
Responder:
    BOTÃO DE EMERGENCIA PND E TRAY WASH SEM IDENTIFICAÇÃO 
</t>
      </text>
    </comment>
    <comment ref="O63" authorId="32" shapeId="0" xr:uid="{CF805059-4152-4A1D-915F-8D74B9CC10B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Carrinhos p movimentação de resíduos e cubas de produto químico inadequados ergonomicamente. Sem apoio e ou escoamento de agua adequado, necessitando esforço físico exagerado. </t>
      </text>
    </comment>
    <comment ref="L78" authorId="33" shapeId="0" xr:uid="{FBC0C970-D490-423D-93B0-030010899AA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PINTURA NO HIDRANTE 1 </t>
      </text>
    </comment>
    <comment ref="L80" authorId="34" shapeId="0" xr:uid="{8752C45F-0888-4CFD-9CCA-6C41516C74C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EXTINTOR SEM LACRE
Responder:
    CORRIGIDO 
</t>
      </text>
    </comment>
    <comment ref="Q84" authorId="35" shapeId="0" xr:uid="{61844B98-0C83-4D54-A782-02B8A6537A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Necessidade de luz de emergência na nova saida etiqueta 
Responder:
    INSTALOU POREM N FUNCIONA
Responder:
    CORRIGIDO</t>
      </text>
    </comment>
    <comment ref="R84" authorId="36" shapeId="0" xr:uid="{96410AAC-AD0F-4DCB-A922-6B174CFD1A3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Luz de emergência na área da expedição
Responder:
    CORRIGIDO
</t>
      </text>
    </comment>
    <comment ref="U85" authorId="37" shapeId="0" xr:uid="{FB71E022-6D1B-49EF-A228-4BE43A6A246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instalar armário corta fogo </t>
      </text>
    </comment>
    <comment ref="O88" authorId="38" shapeId="0" xr:uid="{82E75906-AF22-47A0-B0DE-96EFA6D8DF7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Mapas de risco serão atualizados. </t>
      </text>
    </comment>
    <comment ref="R88" authorId="39" shapeId="0" xr:uid="{52D5AA67-CD03-46F1-B702-ED4BC5EEF1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Necessita sinalização de rota de fuga
Responder:
    CORRIGIDO</t>
      </text>
    </comment>
    <comment ref="L89" authorId="40" shapeId="0" xr:uid="{008EAEB6-C607-4B8B-9F4A-2F7372F4E1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BANDEJA DA ESTEIRA SOLTA, NECESSÁRIO AJUSTE 
Responder:
    CORRIGIDO</t>
      </text>
    </comment>
    <comment ref="S89" authorId="41" shapeId="0" xr:uid="{320CB3A4-2D66-4EF1-B6BB-3AC52D1CBA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PORTA CORTA FOGO DANIFICADA</t>
      </text>
    </comment>
    <comment ref="T89" authorId="42" shapeId="0" xr:uid="{EB94E573-9668-47A8-9BD2-789D04C812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Suporte para epi 
Responder:
    Uma dosadora sem identificação
Responder:
    CORRIGIDO</t>
      </text>
    </comment>
    <comment ref="V89" authorId="43" shapeId="0" xr:uid="{8A282432-7130-479C-94EF-FF99DAB7C3E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CORRENTE E CADEADO NO PORTAO  </t>
      </text>
    </comment>
  </commentList>
</comments>
</file>

<file path=xl/sharedStrings.xml><?xml version="1.0" encoding="utf-8"?>
<sst xmlns="http://schemas.openxmlformats.org/spreadsheetml/2006/main" count="1552" uniqueCount="182">
  <si>
    <t>Inspeções Rotineiras de Meio Ambiente - Lista de verificação</t>
  </si>
  <si>
    <t>SELEÇÃO</t>
  </si>
  <si>
    <t>RECEBIMENTO</t>
  </si>
  <si>
    <t xml:space="preserve">LOW RISK </t>
  </si>
  <si>
    <t>HIGH CARE</t>
  </si>
  <si>
    <t>RESÍDUO</t>
  </si>
  <si>
    <t>ETIQUETA</t>
  </si>
  <si>
    <t>EXPEDIÇÃO</t>
  </si>
  <si>
    <t>ALMOXARIFADO</t>
  </si>
  <si>
    <t>LAVANDERIA</t>
  </si>
  <si>
    <t>MANUTENÇÃO</t>
  </si>
  <si>
    <t>ETE / ETA</t>
  </si>
  <si>
    <t>ADMINISTRATIVOS</t>
  </si>
  <si>
    <t>item</t>
  </si>
  <si>
    <t>Lei, norma ou 
especificação 
aplicável</t>
  </si>
  <si>
    <t>Descrição do item a ser inspecionado (requisito)</t>
  </si>
  <si>
    <t>Descarte</t>
  </si>
  <si>
    <t>É realizada a segregação de materiais como: sucatas, papelão, plástico, lâmpadas, e orgânicos ?</t>
  </si>
  <si>
    <t>S</t>
  </si>
  <si>
    <t>Lixeiras devidamente identificadas conforme o resíduo gerado no setor ?</t>
  </si>
  <si>
    <t>Recipientes apropriados para descarte de material contaminado. Ex: panos com sujidades de graxas e óleos.</t>
  </si>
  <si>
    <t>NA</t>
  </si>
  <si>
    <t>tambores ou lixeiras devidamente identificadas para descarte de kit de emergência ambiental</t>
  </si>
  <si>
    <t>Contaminação</t>
  </si>
  <si>
    <t>Proi</t>
  </si>
  <si>
    <t>N</t>
  </si>
  <si>
    <t xml:space="preserve">N </t>
  </si>
  <si>
    <t xml:space="preserve">Produtos quimicos vencidos e/ou bombonas vazias estão segregadas de forma adequada ? </t>
  </si>
  <si>
    <t>Solo-uso</t>
  </si>
  <si>
    <t>Ausência de resíduos sólidos no chão da empresa.</t>
  </si>
  <si>
    <t>Ausência de resíduos líquidos no chão da empresa.</t>
  </si>
  <si>
    <t>Ar-uso</t>
  </si>
  <si>
    <t>Ausência de pó em suspensão, vapores e gases no ar da empresa.</t>
  </si>
  <si>
    <t>Ausência de fumaça preta excessiva provocada por empilhadeira e trator. (Escala Ringelman)</t>
  </si>
  <si>
    <t>Água
 descarte</t>
  </si>
  <si>
    <t>Ausência de descarte de resíduos contaminados em galerias pluviais.</t>
  </si>
  <si>
    <t>Água-uso</t>
  </si>
  <si>
    <t>Ausência de vazamentos em torneiras, canos, caixas...</t>
  </si>
  <si>
    <t>Ausência de desperdício no uso de água.</t>
  </si>
  <si>
    <t>Energia elétrica-uso</t>
  </si>
  <si>
    <t>Ausência de desperdício no uso de energia elétrica (lâmpadas acesas desnecessariamente, instalações mal feitas...).</t>
  </si>
  <si>
    <t>Outros recursos-uso</t>
  </si>
  <si>
    <t>Ausência de disperdício no uso de outros recursos      ( glp, papel, copos...).</t>
  </si>
  <si>
    <t>Pessoas</t>
  </si>
  <si>
    <t>Conhecimento sobre a sistemática de descartar resíduos.</t>
  </si>
  <si>
    <t>Conscientização sobre questões ambientais.</t>
  </si>
  <si>
    <t>Embalagens e recipientes</t>
  </si>
  <si>
    <t>Caixas, tambores, bombonas de produtos quimicos, e outros recipientes para armazenamento de resíduos, estão bem identificados e em bom estado de conservação.</t>
  </si>
  <si>
    <t>Atende</t>
  </si>
  <si>
    <t>Não Atende</t>
  </si>
  <si>
    <t>ITENS DE MEIO AMBIENTE</t>
  </si>
  <si>
    <t>OK</t>
  </si>
  <si>
    <t>NÃO OK</t>
  </si>
  <si>
    <t>N/A</t>
  </si>
  <si>
    <t>TOTAL GERAL</t>
  </si>
  <si>
    <t>PERCENTUAL</t>
  </si>
  <si>
    <t xml:space="preserve">Mangueira pingando - HC
Bombona de LInkB - HC - sem contenção na sala de químicos 
 bombona externa lavanderia, inadequado, somente com corrente ao invés de gaiola. 
</t>
  </si>
  <si>
    <t xml:space="preserve">SELEÇÃO </t>
  </si>
  <si>
    <t>ETE/ETA</t>
  </si>
  <si>
    <t>Inspeções Rotineiras de Segurança do Trabalho - Lista de verificação
JULHO</t>
  </si>
  <si>
    <t>Externo / NR-1 / NR-35</t>
  </si>
  <si>
    <r>
      <t xml:space="preserve">Escadas móveis: </t>
    </r>
    <r>
      <rPr>
        <sz val="10"/>
        <rFont val="Arial"/>
        <family val="2"/>
      </rPr>
      <t>As escadas móveis estão em boas condições de uso? (Escada móveis, de abrir, plataforma)</t>
    </r>
  </si>
  <si>
    <r>
      <t xml:space="preserve">Escadas Marinheiro: </t>
    </r>
    <r>
      <rPr>
        <sz val="10"/>
        <rFont val="Arial"/>
        <family val="2"/>
      </rPr>
      <t>Escadas marinheiros estão em boas condições e trancadas?</t>
    </r>
  </si>
  <si>
    <t>Externo / NR-1</t>
  </si>
  <si>
    <r>
      <t xml:space="preserve">escadas fixas e guarda-corpo: </t>
    </r>
    <r>
      <rPr>
        <sz val="10"/>
        <rFont val="Arial"/>
        <family val="2"/>
      </rPr>
      <t>As escadas fixas e guarda-corpo estão em boas condições?</t>
    </r>
  </si>
  <si>
    <r>
      <t xml:space="preserve">Iluminação: </t>
    </r>
    <r>
      <rPr>
        <sz val="10"/>
        <rFont val="Arial"/>
        <family val="2"/>
      </rPr>
      <t>O Sistema de iluminação está eficiente? Existem luminárias queimadas ou danificadas?</t>
    </r>
  </si>
  <si>
    <r>
      <t xml:space="preserve">Prevenção de riscos: </t>
    </r>
    <r>
      <rPr>
        <sz val="10"/>
        <rFont val="Arial"/>
        <family val="2"/>
      </rPr>
      <t>As caixas empilhadas são coladas corretamente para evitar o desabamento? (10/12)</t>
    </r>
  </si>
  <si>
    <t>Sistema de exaustão é suficiente e está funcionando corretamente?</t>
  </si>
  <si>
    <t>NR-1</t>
  </si>
  <si>
    <r>
      <rPr>
        <b/>
        <sz val="10"/>
        <rFont val="Arial"/>
        <family val="2"/>
      </rPr>
      <t xml:space="preserve">Prevenção de riscos: </t>
    </r>
    <r>
      <rPr>
        <sz val="10"/>
        <rFont val="Arial"/>
        <family val="2"/>
      </rPr>
      <t>Cumprindo as determinações e obrigações em relação a seg. (não correr, não brincar, não executar tarefas desautorizadas ou Desvios de segurança).</t>
    </r>
  </si>
  <si>
    <t>Externo / NR-6</t>
  </si>
  <si>
    <t>EPI's e EPC's : Utilização e conservação</t>
  </si>
  <si>
    <t>NR-8</t>
  </si>
  <si>
    <t>Pisos adequados (ausência de buracos, depressões e saliências).</t>
  </si>
  <si>
    <t>Aberturas em pisos e paredes: devem ser protegidas contra queda.</t>
  </si>
  <si>
    <t>Rampas e escadas fixas : De acordo com as normas e em  perfeitas condições.</t>
  </si>
  <si>
    <t>NR-8, NR-35</t>
  </si>
  <si>
    <t xml:space="preserve">Construções acima do solo : - guarda-corpo  de acordo com a especificação da NR. </t>
  </si>
  <si>
    <t>NR- 8</t>
  </si>
  <si>
    <t>Proteção Contra Intempéries (chuva)</t>
  </si>
  <si>
    <t>NR-9</t>
  </si>
  <si>
    <t>Produtos químicos adequadamente fechados para evitar exposição dos colaboradores.</t>
  </si>
  <si>
    <t>Externo / NR-10 / NR-23</t>
  </si>
  <si>
    <r>
      <t xml:space="preserve">Sala de Gerador: </t>
    </r>
    <r>
      <rPr>
        <sz val="10"/>
        <rFont val="Arial"/>
        <family val="2"/>
      </rPr>
      <t>O Local deve estar limpo e organizado</t>
    </r>
    <r>
      <rPr>
        <b/>
        <sz val="10"/>
        <rFont val="Arial"/>
        <family val="2"/>
      </rPr>
      <t>.</t>
    </r>
  </si>
  <si>
    <r>
      <t xml:space="preserve">Sala de Gerador: </t>
    </r>
    <r>
      <rPr>
        <sz val="10"/>
        <rFont val="Arial"/>
        <family val="2"/>
      </rPr>
      <t>Verificar os tanques de diesel, verificação de contenção, mangueias, e vazamentos.</t>
    </r>
  </si>
  <si>
    <r>
      <t xml:space="preserve">Sala de Gerador: </t>
    </r>
    <r>
      <rPr>
        <sz val="10"/>
        <rFont val="Arial"/>
        <family val="2"/>
      </rPr>
      <t>Verificar as condições e disponibilidade de extintores.</t>
    </r>
  </si>
  <si>
    <t>Externo / NR-10</t>
  </si>
  <si>
    <r>
      <t xml:space="preserve">Instalações elétricas: </t>
    </r>
    <r>
      <rPr>
        <sz val="10"/>
        <rFont val="Arial"/>
        <family val="2"/>
      </rPr>
      <t>Não observados Fios e cabos elétricos com suas pontas expostas para o lado externo de conduletes elétricos.</t>
    </r>
  </si>
  <si>
    <r>
      <t xml:space="preserve">Instalações elétricas: </t>
    </r>
    <r>
      <rPr>
        <sz val="10"/>
        <rFont val="Arial"/>
        <family val="2"/>
      </rPr>
      <t>Não observados Fios e cabos elétricos expostos em paredes ou sobre pisos, de forma irregular (fora de conduítes elétricos adequados).</t>
    </r>
  </si>
  <si>
    <r>
      <t xml:space="preserve">Tomadas elétricas: </t>
    </r>
    <r>
      <rPr>
        <sz val="10"/>
        <rFont val="Arial"/>
        <family val="2"/>
      </rPr>
      <t>Não observadas tomadas elétricas sem a tampa frontal, ou sem identificação quanto à respectiva tensão.</t>
    </r>
  </si>
  <si>
    <r>
      <t xml:space="preserve">Extensões: </t>
    </r>
    <r>
      <rPr>
        <sz val="10"/>
        <rFont val="Arial"/>
        <family val="2"/>
      </rPr>
      <t>As extenções estão em boas condições, sem danos aparentes ou sem isolamento.</t>
    </r>
  </si>
  <si>
    <r>
      <t xml:space="preserve">Painéis de distribuição elétrica: </t>
    </r>
    <r>
      <rPr>
        <sz val="10"/>
        <rFont val="Arial"/>
        <family val="2"/>
      </rPr>
      <t>Não observados Painéis de distribuição elétrica mantidos abertos.</t>
    </r>
  </si>
  <si>
    <r>
      <t xml:space="preserve">Painéis de distribuição elétrica: </t>
    </r>
    <r>
      <rPr>
        <sz val="10"/>
        <rFont val="Arial"/>
        <family val="2"/>
      </rPr>
      <t>Não observados Painéis de distribuição elétrica sem identificação externa quanto à respectiva tensão.</t>
    </r>
  </si>
  <si>
    <r>
      <t xml:space="preserve">Painéis de distribuição elétrica: </t>
    </r>
    <r>
      <rPr>
        <sz val="10"/>
        <rFont val="Arial"/>
        <family val="2"/>
      </rPr>
      <t>Não observados Painéis de distribuição elétrica com fechaduras danificadas.</t>
    </r>
  </si>
  <si>
    <r>
      <t xml:space="preserve">Painéis de distribuição elétrica: </t>
    </r>
    <r>
      <rPr>
        <sz val="10"/>
        <rFont val="Arial"/>
        <family val="2"/>
      </rPr>
      <t>Não observados Painéis de distribuição elétrica com a ausência de botões de comando ou acionamento.</t>
    </r>
  </si>
  <si>
    <r>
      <t xml:space="preserve">Painéis de comando elétrico de máquinas e equipamentos: </t>
    </r>
    <r>
      <rPr>
        <sz val="10"/>
        <rFont val="Arial"/>
        <family val="2"/>
      </rPr>
      <t>Não observados Painéis de comando elétrico: A) Danificados; B) Com ausência de botões de comando; C) Com botões sem identificação e D) Com lâmpadas de indicação "queimadas".</t>
    </r>
  </si>
  <si>
    <t>s</t>
  </si>
  <si>
    <t>O método de bloqueio e etiqueta é usado antes de realizar qualquer manutenção nos equipamentos elétricos</t>
  </si>
  <si>
    <t>Todos os funcionários que trabalham com aparelhos elétricos receberam treinamento elétrico adequado e isso já foi documentado. Treinamento NR10</t>
  </si>
  <si>
    <t>É mantido dentro dos paineis elétricos o diagrama unifilar?</t>
  </si>
  <si>
    <t xml:space="preserve">Ferramentas isoladas são usadas quando necessário? Estão em boas condições. </t>
  </si>
  <si>
    <t>Tapetes e barras estão com testes de isolamento válido?</t>
  </si>
  <si>
    <t xml:space="preserve"> Externo / NR-06; NR-10</t>
  </si>
  <si>
    <r>
      <t xml:space="preserve">EPI´s: </t>
    </r>
    <r>
      <rPr>
        <sz val="10"/>
        <rFont val="Arial"/>
        <family val="2"/>
      </rPr>
      <t>Não observada a indisponibilidade de EPI´s para atividades no interior da subestação elétrica.</t>
    </r>
  </si>
  <si>
    <r>
      <t xml:space="preserve">EPI´s: </t>
    </r>
    <r>
      <rPr>
        <sz val="10"/>
        <rFont val="Arial"/>
        <family val="2"/>
      </rPr>
      <t>Não observados EPI´s para a utilização em atividades no interior da subestação elétrica, com CA´s vencidos. Ou testes dielétrico vencido.</t>
    </r>
  </si>
  <si>
    <r>
      <t xml:space="preserve">Treinamentos - NR-10: </t>
    </r>
    <r>
      <rPr>
        <sz val="10"/>
        <rFont val="Arial"/>
        <family val="2"/>
      </rPr>
      <t>Não observadas pendências de treinamentos ou vencimento de suas respectivas reciclagens aos profissionais eletricistas.</t>
    </r>
  </si>
  <si>
    <t>NR-11</t>
  </si>
  <si>
    <t>Empilhadeira : O op. de empilhadeira deverá portar  o crachá e atualizado.</t>
  </si>
  <si>
    <t>Sinalização : os equipamentos de transporte deverão possuir advertência sonora (buzina).</t>
  </si>
  <si>
    <t>Armazenamento: não deverá obstruir portas, equipamentos contra incêndio, saídas de emergência,etc.</t>
  </si>
  <si>
    <t>Externo / NR-11</t>
  </si>
  <si>
    <t>Empilhamento irregular de pallets, caixas, e outros itens que possam provocar sua queda, com consequentes acidentes do trabalho ou danificação dos produtos contidos em seu interior</t>
  </si>
  <si>
    <t>Estado de conservação de prateleiras e proteções contra impacto.</t>
  </si>
  <si>
    <r>
      <t xml:space="preserve">EMPILHADEIRAS - NR-11: </t>
    </r>
    <r>
      <rPr>
        <sz val="10"/>
        <rFont val="Arial"/>
        <family val="2"/>
      </rPr>
      <t>Sinais de desgaste dos pneus</t>
    </r>
  </si>
  <si>
    <t>NAN</t>
  </si>
  <si>
    <r>
      <t xml:space="preserve">EMPILHADEIRAS - NR-11: </t>
    </r>
    <r>
      <rPr>
        <sz val="10"/>
        <rFont val="Arial"/>
        <family val="2"/>
      </rPr>
      <t>O sistema de iluminação</t>
    </r>
    <r>
      <rPr>
        <b/>
        <sz val="10"/>
        <rFont val="Arial"/>
        <family val="2"/>
      </rPr>
      <t xml:space="preserve">, </t>
    </r>
    <r>
      <rPr>
        <sz val="10"/>
        <rFont val="Arial"/>
        <family val="2"/>
      </rPr>
      <t>lâmpada quebrada.</t>
    </r>
  </si>
  <si>
    <r>
      <t xml:space="preserve">EMPILHADEIRAS - NR-11: </t>
    </r>
    <r>
      <rPr>
        <sz val="10"/>
        <rFont val="Arial"/>
        <family val="2"/>
      </rPr>
      <t>Bateria/terminal/cabo em bom estado.</t>
    </r>
  </si>
  <si>
    <r>
      <t xml:space="preserve">EMPILHADEIRAS - NR-11: </t>
    </r>
    <r>
      <rPr>
        <sz val="10"/>
        <rFont val="Arial"/>
        <family val="2"/>
      </rPr>
      <t>Torre, garfos e mangueiras hidráulicas.</t>
    </r>
  </si>
  <si>
    <r>
      <t xml:space="preserve">EMPILHADEIRAS - NR-11: </t>
    </r>
    <r>
      <rPr>
        <sz val="10"/>
        <rFont val="Arial"/>
        <family val="2"/>
      </rPr>
      <t>Alarme de ré em boas condições de funcionamento.</t>
    </r>
  </si>
  <si>
    <r>
      <t xml:space="preserve">EMPILHADEIRAS - NR-11: </t>
    </r>
    <r>
      <rPr>
        <sz val="10"/>
        <rFont val="Arial"/>
        <family val="2"/>
      </rPr>
      <t>Cinto de segurança em boas condições.</t>
    </r>
  </si>
  <si>
    <r>
      <t xml:space="preserve">EMPILHADEIRAS - NR-11: </t>
    </r>
    <r>
      <rPr>
        <sz val="10"/>
        <rFont val="Arial"/>
        <family val="2"/>
      </rPr>
      <t>Luzes de aviso em boas condições.</t>
    </r>
  </si>
  <si>
    <r>
      <t xml:space="preserve">EMPILHADEIRAS - NR-11: </t>
    </r>
    <r>
      <rPr>
        <sz val="10"/>
        <rFont val="Arial"/>
        <family val="2"/>
      </rPr>
      <t>Funcionamento dos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Freios.</t>
    </r>
  </si>
  <si>
    <r>
      <t xml:space="preserve">EMPILHADEIRAS - NR-11: </t>
    </r>
    <r>
      <rPr>
        <sz val="10"/>
        <rFont val="Arial"/>
        <family val="2"/>
      </rPr>
      <t>Vazamentos de óleo ou fluídos.</t>
    </r>
  </si>
  <si>
    <r>
      <t xml:space="preserve">EMPILHADEIRAS - NR-11: </t>
    </r>
    <r>
      <rPr>
        <sz val="10"/>
        <rFont val="Arial"/>
        <family val="2"/>
      </rPr>
      <t>Condições do volante, chave, painel, acionadores, etc.</t>
    </r>
  </si>
  <si>
    <r>
      <t xml:space="preserve">PALETEIRAS: </t>
    </r>
    <r>
      <rPr>
        <sz val="10"/>
        <rFont val="Arial"/>
        <family val="2"/>
      </rPr>
      <t>As paleteiras estão em boas condições operacionais?</t>
    </r>
  </si>
  <si>
    <t>Verificação do acúmulo de palhetes danificados para descarte.</t>
  </si>
  <si>
    <t>Está sendo respeitado a altura máxima de empilhamento de paletes vazios? 25 unidades</t>
  </si>
  <si>
    <t>NR-12.2.1</t>
  </si>
  <si>
    <t>a)Dispositivo de Seg. Máq./Equip.: Deverá ser Acionado ou desligado pelo operador na sua posição de trabalho.  Tambem botão de emergência (quando aplicável)</t>
  </si>
  <si>
    <t>d) Comandos de acionamentos/chave geral de Máq. /Equip: não devem ser acionados ou desligado, involuntariamente, pelo operador, ou de qualquer outra forma acidental.</t>
  </si>
  <si>
    <t>NR-12.3.1</t>
  </si>
  <si>
    <t>Máquinas / Equipamentos : devem ter proteções nas suas transmissões de energia elétrica e devidamente isoladas.</t>
  </si>
  <si>
    <t>NR-12.3.2</t>
  </si>
  <si>
    <t>Nas transmissões de forças : quando estiverem a uma altura de 2,50m, podem ficar expostas, exceto nos casos de plataforma de trabalho.</t>
  </si>
  <si>
    <t>Externo / NR-12</t>
  </si>
  <si>
    <r>
      <t xml:space="preserve">Máquinas e equipamentos: </t>
    </r>
    <r>
      <rPr>
        <sz val="10"/>
        <rFont val="Arial"/>
        <family val="2"/>
      </rPr>
      <t>Todos os dispositivos de proteção estão em boas condições e devidamente fixados?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 (Descascadoras, tombadores de resíduos, etc)</t>
    </r>
  </si>
  <si>
    <r>
      <t xml:space="preserve">Máquinas e equipamentos: </t>
    </r>
    <r>
      <rPr>
        <sz val="10"/>
        <rFont val="Arial"/>
        <family val="2"/>
      </rPr>
      <t>Os botões de controle de para/partida estão claramente identificados?</t>
    </r>
    <r>
      <rPr>
        <b/>
        <sz val="10"/>
        <rFont val="Arial"/>
        <family val="2"/>
      </rPr>
      <t xml:space="preserve">  </t>
    </r>
    <r>
      <rPr>
        <sz val="10"/>
        <rFont val="Arial"/>
        <family val="2"/>
      </rPr>
      <t>(Descascadoras, tombadores de resíduos, etc)</t>
    </r>
  </si>
  <si>
    <r>
      <t xml:space="preserve">Máquinas e equipamentos: </t>
    </r>
    <r>
      <rPr>
        <sz val="10"/>
        <rFont val="Arial"/>
        <family val="2"/>
      </rPr>
      <t>As máquinas estão bom funcionamento? (Descascadoras, tombadores de resíduos, etc)</t>
    </r>
  </si>
  <si>
    <r>
      <t xml:space="preserve">Máquinas e equipamentos: </t>
    </r>
    <r>
      <rPr>
        <sz val="10"/>
        <rFont val="Arial"/>
        <family val="2"/>
      </rPr>
      <t>Os operadores de máquinas são devidamente treinados?</t>
    </r>
  </si>
  <si>
    <t>Externo / NR-12 / NR-1</t>
  </si>
  <si>
    <r>
      <t xml:space="preserve">Máquinas e equipamentos: </t>
    </r>
    <r>
      <rPr>
        <sz val="10"/>
        <rFont val="Arial"/>
        <family val="2"/>
      </rPr>
      <t>Os carrinhos para movimentação de caixas estão em boas condições?</t>
    </r>
  </si>
  <si>
    <t>Externo / NR-13</t>
  </si>
  <si>
    <t>Os vasos de pressão (PV) são identificados por números de série?</t>
  </si>
  <si>
    <t>Mecanismos de alívio de pressão estão instalados?</t>
  </si>
  <si>
    <t>Os vasos de pressão estão posicionados com segurança?</t>
  </si>
  <si>
    <t>Externo / NR-17</t>
  </si>
  <si>
    <t>Cadeiras ergonômicas, apoios de pés, mãos, tela, etc, estão em boas condições.</t>
  </si>
  <si>
    <t>Externo / NR-20</t>
  </si>
  <si>
    <t>O transporte dos cilindros Oxigênio, Acetileno, Argônio e GLP : deverão ser realizados em carrinhos adequados.</t>
  </si>
  <si>
    <t>Cilindros de gases: Os cilindros fora de uso estão com o capacete de proteção instalado?</t>
  </si>
  <si>
    <t>Cilindros de gases: Os cilindros cheios separados dos vazios.</t>
  </si>
  <si>
    <t>Instalações de gases com valvulas corta fogo nas extremidades das mangueiras.</t>
  </si>
  <si>
    <t>Maçaricos: Verificar as condições gerais dos maçaricos, como: manômetros, válvulas corta fogo, mangueiras, bico, regulador, travamento do cilindro, etc.</t>
  </si>
  <si>
    <t>Cilindros de gases: Existe um depósito de cilindros bem projetado? (afastamento seguro, inexistencia de ralos ou galerias, travamento seguro dos cilindros)</t>
  </si>
  <si>
    <t>Externo / NR-23</t>
  </si>
  <si>
    <t>Os hidrantes estão em perfeito funcionamento.</t>
  </si>
  <si>
    <t>Pressão da água nos hidrantes. Alcance minimo do jato da água deve ser de 10 metros.</t>
  </si>
  <si>
    <t>Equip. de combate à incêndio estão nos locais designados.</t>
  </si>
  <si>
    <t>Equip. de combate à incêndio e saídas de emergências deverão estar desobstruídos.</t>
  </si>
  <si>
    <t>Os extintores, hidrantes e botoeiras estão sinalizados.</t>
  </si>
  <si>
    <t>Os extintores, estão carregados e dentro da validade.</t>
  </si>
  <si>
    <t>Os extintores encontram-se dentro dos prazos de carregamento, teste hidrostático e em boas condições.</t>
  </si>
  <si>
    <t>As caixas de mangueiras possuem mangueiras, chave universal e esguicho em bom estado físico.</t>
  </si>
  <si>
    <t>O Alarme de incêndio e central de alarmes deve estar funcionando corretamente.</t>
  </si>
  <si>
    <t>Verificação do ponto de encontro. Deve estar visível e em boas condições.</t>
  </si>
  <si>
    <t>Luz de emergência : deverão estar instaladas nos acessos de corredores e saídas de emergências e devem estar funcionando adequadamente.</t>
  </si>
  <si>
    <t>Externo / NR-20 / NR-23</t>
  </si>
  <si>
    <t>Os produtos inflamáveis devem estar acondicionados de forma adequada e segura. (Armário corta fogo)</t>
  </si>
  <si>
    <t>Os produtos inflamáveis possuem identificação adequada.</t>
  </si>
  <si>
    <t>NR-24</t>
  </si>
  <si>
    <t>Instalações sanitárias adequadas , limpas e conservadas.</t>
  </si>
  <si>
    <t>Externo / NR-26</t>
  </si>
  <si>
    <t>Sinalizações de Segurança: Presentes, adequadas e conservadas.</t>
  </si>
  <si>
    <t>Observado outras condições de riscos?</t>
  </si>
  <si>
    <t>Atende ao requisito</t>
  </si>
  <si>
    <t>Não atende ao requisito</t>
  </si>
  <si>
    <t>Não aplicável ou não auditado</t>
  </si>
  <si>
    <t xml:space="preserve">   Sala de quimicos externa:  mangueira, 
Lavanderia: suporte de epi 
Expedição: Necessário instalação de luz de emergencia 
Etiqueta: luz de emergencia não funciona
</t>
  </si>
  <si>
    <t>ITENS DE SEGURANÇA DO TRABALHO</t>
  </si>
  <si>
    <t>LOW RISK</t>
  </si>
  <si>
    <t xml:space="preserve">HIGH CARE </t>
  </si>
  <si>
    <t xml:space="preserve">MANUTENÇÃO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</si>
</sst>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mmmm\-yy;@"/>
    <numFmt numFmtId="165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9"/>
      <color indexed="81"/>
      <name val="Segoe UI"/>
      <charset val="1"/>
    </font>
    <font>
      <u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center"/>
    </xf>
    <xf numFmtId="9" fontId="2" fillId="0" borderId="0">
      <protection locked="0"/>
    </xf>
    <xf numFmtId="0" fontId="2" fillId="0" borderId="0"/>
  </cellStyleXfs>
  <cellXfs count="138">
    <xf numFmtId="0" fontId="0" fillId="0" borderId="0" xfId="0"/>
    <xf numFmtId="0" fontId="2" fillId="0" borderId="1" xfId="2" applyBorder="1" applyAlignment="1"/>
    <xf numFmtId="0" fontId="2" fillId="0" borderId="0" xfId="2">
      <alignment vertical="center"/>
    </xf>
    <xf numFmtId="0" fontId="3" fillId="0" borderId="3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0" fontId="2" fillId="2" borderId="3" xfId="2" applyFill="1" applyBorder="1" applyAlignment="1">
      <alignment horizontal="center" textRotation="90" wrapText="1"/>
    </xf>
    <xf numFmtId="0" fontId="2" fillId="3" borderId="3" xfId="2" applyFill="1" applyBorder="1" applyAlignment="1">
      <alignment horizontal="center" textRotation="90" wrapText="1"/>
    </xf>
    <xf numFmtId="0" fontId="2" fillId="0" borderId="0" xfId="2" applyAlignment="1"/>
    <xf numFmtId="0" fontId="3" fillId="0" borderId="4" xfId="2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justify"/>
    </xf>
    <xf numFmtId="0" fontId="4" fillId="0" borderId="3" xfId="2" applyFont="1" applyBorder="1" applyAlignment="1">
      <alignment horizontal="justify" vertical="center"/>
    </xf>
    <xf numFmtId="0" fontId="2" fillId="4" borderId="3" xfId="2" applyFill="1" applyBorder="1" applyAlignment="1">
      <alignment horizontal="center" vertical="center"/>
    </xf>
    <xf numFmtId="0" fontId="4" fillId="0" borderId="0" xfId="2" applyFont="1" applyAlignment="1">
      <alignment horizontal="justify"/>
    </xf>
    <xf numFmtId="0" fontId="4" fillId="0" borderId="0" xfId="2" applyFont="1" applyAlignment="1"/>
    <xf numFmtId="0" fontId="4" fillId="5" borderId="3" xfId="2" applyFont="1" applyFill="1" applyBorder="1" applyAlignment="1">
      <alignment horizontal="justify" vertical="center"/>
    </xf>
    <xf numFmtId="0" fontId="4" fillId="0" borderId="3" xfId="2" applyFont="1" applyBorder="1" applyAlignment="1">
      <alignment horizontal="justify" vertical="center" wrapText="1"/>
    </xf>
    <xf numFmtId="0" fontId="5" fillId="6" borderId="0" xfId="2" applyFont="1" applyFill="1" applyAlignment="1">
      <alignment horizontal="center" vertical="center"/>
    </xf>
    <xf numFmtId="0" fontId="2" fillId="7" borderId="3" xfId="2" applyFill="1" applyBorder="1" applyAlignment="1">
      <alignment horizontal="center" vertical="center"/>
    </xf>
    <xf numFmtId="9" fontId="2" fillId="0" borderId="0" xfId="1" applyFont="1" applyAlignment="1">
      <alignment vertical="center"/>
    </xf>
    <xf numFmtId="0" fontId="2" fillId="8" borderId="3" xfId="2" applyFill="1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164" fontId="6" fillId="0" borderId="0" xfId="2" applyNumberFormat="1" applyFont="1">
      <alignment vertical="center"/>
    </xf>
    <xf numFmtId="164" fontId="6" fillId="0" borderId="7" xfId="2" applyNumberFormat="1" applyFont="1" applyBorder="1">
      <alignment vertical="center"/>
    </xf>
    <xf numFmtId="0" fontId="5" fillId="0" borderId="8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164" fontId="6" fillId="0" borderId="11" xfId="2" applyNumberFormat="1" applyFont="1" applyBorder="1">
      <alignment vertical="center"/>
    </xf>
    <xf numFmtId="164" fontId="6" fillId="0" borderId="12" xfId="2" applyNumberFormat="1" applyFont="1" applyBorder="1">
      <alignment vertical="center"/>
    </xf>
    <xf numFmtId="0" fontId="2" fillId="0" borderId="13" xfId="2" applyBorder="1" applyAlignment="1">
      <alignment horizontal="center" vertical="center"/>
    </xf>
    <xf numFmtId="0" fontId="2" fillId="0" borderId="14" xfId="2" applyBorder="1" applyAlignment="1">
      <alignment horizontal="center" vertical="center"/>
    </xf>
    <xf numFmtId="0" fontId="2" fillId="0" borderId="15" xfId="2" applyBorder="1" applyAlignment="1">
      <alignment horizontal="center" vertical="center"/>
    </xf>
    <xf numFmtId="0" fontId="2" fillId="0" borderId="16" xfId="2" applyBorder="1">
      <alignment vertical="center"/>
    </xf>
    <xf numFmtId="0" fontId="2" fillId="9" borderId="17" xfId="2" applyFill="1" applyBorder="1" applyAlignment="1">
      <alignment horizontal="center" vertical="center"/>
    </xf>
    <xf numFmtId="0" fontId="2" fillId="0" borderId="3" xfId="2" applyBorder="1" applyAlignment="1">
      <alignment horizontal="center" vertical="center" wrapText="1"/>
    </xf>
    <xf numFmtId="0" fontId="2" fillId="0" borderId="3" xfId="2" applyBorder="1" applyAlignment="1">
      <alignment horizontal="center" vertical="center"/>
    </xf>
    <xf numFmtId="0" fontId="2" fillId="2" borderId="4" xfId="2" applyFill="1" applyBorder="1" applyAlignment="1">
      <alignment horizontal="left"/>
    </xf>
    <xf numFmtId="0" fontId="2" fillId="2" borderId="18" xfId="2" applyFill="1" applyBorder="1" applyAlignment="1">
      <alignment horizontal="left"/>
    </xf>
    <xf numFmtId="0" fontId="2" fillId="0" borderId="19" xfId="2" applyBorder="1" applyAlignment="1">
      <alignment horizontal="center" vertical="center"/>
    </xf>
    <xf numFmtId="0" fontId="2" fillId="0" borderId="20" xfId="2" applyBorder="1" applyAlignment="1">
      <alignment horizontal="center" vertical="center"/>
    </xf>
    <xf numFmtId="0" fontId="5" fillId="0" borderId="21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9" fontId="2" fillId="0" borderId="3" xfId="3" applyBorder="1" applyAlignment="1">
      <alignment horizontal="center"/>
      <protection locked="0"/>
    </xf>
    <xf numFmtId="0" fontId="2" fillId="3" borderId="4" xfId="2" applyFill="1" applyBorder="1" applyAlignment="1">
      <alignment horizontal="left" vertical="center"/>
    </xf>
    <xf numFmtId="0" fontId="2" fillId="3" borderId="18" xfId="2" applyFill="1" applyBorder="1" applyAlignment="1">
      <alignment horizontal="left" vertical="center"/>
    </xf>
    <xf numFmtId="0" fontId="2" fillId="2" borderId="3" xfId="2" applyFill="1" applyBorder="1" applyAlignment="1">
      <alignment horizontal="left"/>
    </xf>
    <xf numFmtId="0" fontId="2" fillId="3" borderId="3" xfId="2" applyFill="1" applyBorder="1" applyAlignment="1">
      <alignment horizontal="left" vertical="center"/>
    </xf>
    <xf numFmtId="0" fontId="2" fillId="0" borderId="22" xfId="2" applyBorder="1" applyAlignment="1">
      <alignment horizontal="center" vertical="center"/>
    </xf>
    <xf numFmtId="0" fontId="2" fillId="0" borderId="23" xfId="2" applyBorder="1" applyAlignment="1">
      <alignment horizontal="center" vertical="center"/>
    </xf>
    <xf numFmtId="0" fontId="2" fillId="0" borderId="24" xfId="2" applyBorder="1" applyAlignment="1">
      <alignment horizontal="center" vertical="center"/>
    </xf>
    <xf numFmtId="0" fontId="7" fillId="0" borderId="25" xfId="2" applyFont="1" applyBorder="1" applyAlignment="1">
      <alignment horizontal="center" vertical="center"/>
    </xf>
    <xf numFmtId="165" fontId="2" fillId="5" borderId="3" xfId="3" applyNumberFormat="1" applyFill="1" applyBorder="1" applyAlignment="1">
      <alignment horizontal="center"/>
      <protection locked="0"/>
    </xf>
    <xf numFmtId="0" fontId="2" fillId="0" borderId="2" xfId="2" applyBorder="1" applyAlignment="1">
      <alignment horizontal="left"/>
    </xf>
    <xf numFmtId="0" fontId="5" fillId="0" borderId="2" xfId="2" applyFont="1" applyBorder="1" applyAlignment="1">
      <alignment horizontal="left" vertical="center"/>
    </xf>
    <xf numFmtId="0" fontId="5" fillId="0" borderId="1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2" fillId="0" borderId="26" xfId="2" applyBorder="1" applyAlignment="1">
      <alignment horizontal="center" vertical="center" wrapText="1"/>
    </xf>
    <xf numFmtId="0" fontId="2" fillId="0" borderId="8" xfId="2" applyBorder="1" applyAlignment="1">
      <alignment horizontal="center" vertical="center" wrapText="1"/>
    </xf>
    <xf numFmtId="0" fontId="2" fillId="0" borderId="10" xfId="2" applyBorder="1" applyAlignment="1">
      <alignment horizontal="center" vertical="center" wrapText="1"/>
    </xf>
    <xf numFmtId="0" fontId="2" fillId="0" borderId="9" xfId="2" applyBorder="1" applyAlignment="1">
      <alignment horizontal="center" vertical="center" wrapText="1"/>
    </xf>
    <xf numFmtId="0" fontId="2" fillId="0" borderId="0" xfId="2" applyAlignment="1">
      <alignment horizontal="justify"/>
    </xf>
    <xf numFmtId="0" fontId="2" fillId="10" borderId="27" xfId="2" applyFill="1" applyBorder="1" applyAlignment="1">
      <alignment horizontal="left" vertical="center"/>
    </xf>
    <xf numFmtId="0" fontId="5" fillId="10" borderId="3" xfId="2" applyFont="1" applyFill="1" applyBorder="1" applyAlignment="1">
      <alignment horizontal="left" vertical="center" wrapText="1"/>
    </xf>
    <xf numFmtId="0" fontId="2" fillId="10" borderId="3" xfId="2" applyFill="1" applyBorder="1" applyAlignment="1">
      <alignment horizontal="left" vertical="center" wrapText="1"/>
    </xf>
    <xf numFmtId="0" fontId="2" fillId="10" borderId="4" xfId="2" applyFill="1" applyBorder="1" applyAlignment="1">
      <alignment horizontal="left" vertical="center" wrapText="1"/>
    </xf>
    <xf numFmtId="0" fontId="2" fillId="0" borderId="3" xfId="2" applyBorder="1" applyAlignment="1" applyProtection="1">
      <alignment horizontal="center" vertical="center"/>
      <protection locked="0"/>
    </xf>
    <xf numFmtId="0" fontId="2" fillId="4" borderId="27" xfId="2" applyFill="1" applyBorder="1" applyAlignment="1">
      <alignment horizontal="left" vertical="center"/>
    </xf>
    <xf numFmtId="0" fontId="2" fillId="4" borderId="3" xfId="2" applyFill="1" applyBorder="1" applyAlignment="1">
      <alignment horizontal="left" vertical="center" wrapText="1"/>
    </xf>
    <xf numFmtId="0" fontId="2" fillId="4" borderId="4" xfId="2" applyFill="1" applyBorder="1" applyAlignment="1">
      <alignment horizontal="left" vertical="center" wrapText="1"/>
    </xf>
    <xf numFmtId="0" fontId="2" fillId="0" borderId="27" xfId="2" applyBorder="1" applyAlignment="1">
      <alignment horizontal="left" vertical="center"/>
    </xf>
    <xf numFmtId="0" fontId="2" fillId="0" borderId="27" xfId="2" applyBorder="1" applyAlignment="1">
      <alignment horizontal="left" vertical="center" wrapText="1"/>
    </xf>
    <xf numFmtId="0" fontId="2" fillId="0" borderId="28" xfId="2" applyBorder="1" applyAlignment="1">
      <alignment horizontal="left" vertical="center" wrapText="1"/>
    </xf>
    <xf numFmtId="0" fontId="2" fillId="10" borderId="3" xfId="2" applyFill="1" applyBorder="1" applyAlignment="1">
      <alignment horizontal="left" vertical="center"/>
    </xf>
    <xf numFmtId="0" fontId="2" fillId="0" borderId="3" xfId="2" applyBorder="1" applyAlignment="1">
      <alignment horizontal="left" vertical="center"/>
    </xf>
    <xf numFmtId="0" fontId="2" fillId="0" borderId="3" xfId="2" applyBorder="1" applyAlignment="1">
      <alignment horizontal="left" vertical="center" wrapText="1"/>
    </xf>
    <xf numFmtId="0" fontId="2" fillId="0" borderId="4" xfId="2" applyBorder="1" applyAlignment="1">
      <alignment horizontal="left" vertical="center" wrapText="1"/>
    </xf>
    <xf numFmtId="0" fontId="2" fillId="3" borderId="3" xfId="2" applyFill="1" applyBorder="1" applyAlignment="1" applyProtection="1">
      <alignment horizontal="center" vertical="center"/>
      <protection locked="0"/>
    </xf>
    <xf numFmtId="0" fontId="5" fillId="10" borderId="27" xfId="2" applyFont="1" applyFill="1" applyBorder="1" applyAlignment="1">
      <alignment horizontal="left" vertical="center" wrapText="1"/>
    </xf>
    <xf numFmtId="0" fontId="2" fillId="10" borderId="27" xfId="2" applyFill="1" applyBorder="1" applyAlignment="1">
      <alignment horizontal="left" vertical="center" wrapText="1"/>
    </xf>
    <xf numFmtId="0" fontId="2" fillId="10" borderId="28" xfId="2" applyFill="1" applyBorder="1" applyAlignment="1">
      <alignment horizontal="left" vertical="center" wrapText="1"/>
    </xf>
    <xf numFmtId="0" fontId="9" fillId="0" borderId="3" xfId="2" applyFont="1" applyBorder="1" applyAlignment="1" applyProtection="1">
      <alignment horizontal="center" vertical="center"/>
      <protection locked="0"/>
    </xf>
    <xf numFmtId="0" fontId="2" fillId="10" borderId="29" xfId="2" applyFill="1" applyBorder="1" applyAlignment="1">
      <alignment horizontal="left" vertical="center" wrapText="1"/>
    </xf>
    <xf numFmtId="0" fontId="2" fillId="10" borderId="29" xfId="2" applyFill="1" applyBorder="1" applyAlignment="1">
      <alignment horizontal="left" vertical="center"/>
    </xf>
    <xf numFmtId="0" fontId="5" fillId="10" borderId="29" xfId="2" applyFont="1" applyFill="1" applyBorder="1" applyAlignment="1">
      <alignment horizontal="left" vertical="center" wrapText="1"/>
    </xf>
    <xf numFmtId="0" fontId="2" fillId="10" borderId="25" xfId="2" applyFill="1" applyBorder="1" applyAlignment="1">
      <alignment horizontal="left" vertical="center" wrapText="1"/>
    </xf>
    <xf numFmtId="0" fontId="2" fillId="10" borderId="30" xfId="2" applyFill="1" applyBorder="1" applyAlignment="1">
      <alignment horizontal="left" vertical="center" wrapText="1"/>
    </xf>
    <xf numFmtId="0" fontId="2" fillId="10" borderId="31" xfId="2" applyFill="1" applyBorder="1" applyAlignment="1">
      <alignment horizontal="left" vertical="center" wrapText="1"/>
    </xf>
    <xf numFmtId="0" fontId="5" fillId="0" borderId="30" xfId="2" applyFont="1" applyBorder="1" applyAlignment="1">
      <alignment horizontal="left" vertical="center" wrapText="1"/>
    </xf>
    <xf numFmtId="0" fontId="2" fillId="0" borderId="30" xfId="2" applyBorder="1" applyAlignment="1">
      <alignment horizontal="left" vertical="center" wrapText="1"/>
    </xf>
    <xf numFmtId="0" fontId="2" fillId="0" borderId="31" xfId="2" applyBorder="1" applyAlignment="1">
      <alignment horizontal="left" vertical="center" wrapText="1"/>
    </xf>
    <xf numFmtId="0" fontId="5" fillId="10" borderId="30" xfId="2" applyFont="1" applyFill="1" applyBorder="1" applyAlignment="1">
      <alignment horizontal="left" vertical="center" wrapText="1"/>
    </xf>
    <xf numFmtId="0" fontId="2" fillId="3" borderId="30" xfId="2" applyFill="1" applyBorder="1" applyAlignment="1" applyProtection="1">
      <alignment horizontal="center" vertical="center"/>
      <protection locked="0"/>
    </xf>
    <xf numFmtId="0" fontId="2" fillId="10" borderId="32" xfId="2" applyFill="1" applyBorder="1" applyAlignment="1">
      <alignment horizontal="left" vertical="center" wrapText="1"/>
    </xf>
    <xf numFmtId="0" fontId="2" fillId="10" borderId="33" xfId="2" applyFill="1" applyBorder="1" applyAlignment="1">
      <alignment horizontal="left" vertical="center"/>
    </xf>
    <xf numFmtId="0" fontId="2" fillId="0" borderId="34" xfId="2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2" fillId="0" borderId="0" xfId="2" applyAlignment="1">
      <alignment horizontal="left" vertical="center"/>
    </xf>
    <xf numFmtId="0" fontId="2" fillId="0" borderId="1" xfId="2" applyBorder="1">
      <alignment vertical="center"/>
    </xf>
    <xf numFmtId="0" fontId="2" fillId="0" borderId="1" xfId="2" applyBorder="1" applyAlignment="1">
      <alignment horizontal="left" vertical="center"/>
    </xf>
    <xf numFmtId="0" fontId="2" fillId="0" borderId="2" xfId="2" applyBorder="1" applyAlignment="1">
      <alignment horizontal="left" vertical="center"/>
    </xf>
    <xf numFmtId="0" fontId="2" fillId="0" borderId="35" xfId="2" applyBorder="1">
      <alignment vertical="center"/>
    </xf>
    <xf numFmtId="0" fontId="5" fillId="6" borderId="3" xfId="2" applyFont="1" applyFill="1" applyBorder="1" applyAlignment="1">
      <alignment horizontal="center" vertical="center"/>
    </xf>
    <xf numFmtId="0" fontId="2" fillId="0" borderId="34" xfId="2" applyBorder="1">
      <alignment vertical="center"/>
    </xf>
    <xf numFmtId="0" fontId="2" fillId="0" borderId="34" xfId="2" applyBorder="1" applyAlignment="1">
      <alignment horizontal="left" vertical="center"/>
    </xf>
    <xf numFmtId="0" fontId="2" fillId="0" borderId="7" xfId="2" applyBorder="1">
      <alignment vertical="center"/>
    </xf>
    <xf numFmtId="0" fontId="2" fillId="0" borderId="36" xfId="2" applyBorder="1">
      <alignment vertical="center"/>
    </xf>
    <xf numFmtId="0" fontId="2" fillId="0" borderId="36" xfId="2" applyBorder="1" applyAlignment="1">
      <alignment horizontal="left" vertical="center"/>
    </xf>
    <xf numFmtId="0" fontId="2" fillId="0" borderId="37" xfId="2" applyBorder="1" applyAlignment="1">
      <alignment horizontal="left" vertical="center"/>
    </xf>
    <xf numFmtId="0" fontId="2" fillId="0" borderId="38" xfId="2" applyBorder="1">
      <alignment vertical="center"/>
    </xf>
    <xf numFmtId="0" fontId="2" fillId="0" borderId="1" xfId="2" applyBorder="1" applyAlignment="1">
      <alignment horizontal="center" vertical="top" wrapText="1"/>
    </xf>
    <xf numFmtId="0" fontId="2" fillId="0" borderId="2" xfId="2" applyBorder="1" applyAlignment="1">
      <alignment horizontal="center" vertical="top" wrapText="1"/>
    </xf>
    <xf numFmtId="0" fontId="2" fillId="0" borderId="34" xfId="2" applyBorder="1" applyAlignment="1">
      <alignment horizontal="center" vertical="top" wrapText="1"/>
    </xf>
    <xf numFmtId="0" fontId="2" fillId="0" borderId="0" xfId="2" applyAlignment="1">
      <alignment horizontal="center" vertical="top" wrapText="1"/>
    </xf>
    <xf numFmtId="164" fontId="6" fillId="0" borderId="0" xfId="2" applyNumberFormat="1" applyFont="1" applyAlignment="1">
      <alignment horizontal="center" vertical="center"/>
    </xf>
    <xf numFmtId="164" fontId="6" fillId="0" borderId="7" xfId="2" applyNumberFormat="1" applyFont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/>
    </xf>
    <xf numFmtId="164" fontId="6" fillId="0" borderId="12" xfId="2" applyNumberFormat="1" applyFont="1" applyBorder="1" applyAlignment="1">
      <alignment horizontal="center" vertical="center"/>
    </xf>
    <xf numFmtId="0" fontId="2" fillId="10" borderId="13" xfId="2" applyFill="1" applyBorder="1" applyAlignment="1" applyProtection="1">
      <alignment horizontal="left" vertical="center"/>
      <protection locked="0"/>
    </xf>
    <xf numFmtId="0" fontId="2" fillId="10" borderId="14" xfId="2" applyFill="1" applyBorder="1" applyAlignment="1" applyProtection="1">
      <alignment horizontal="center" vertical="center"/>
      <protection locked="0"/>
    </xf>
    <xf numFmtId="0" fontId="2" fillId="10" borderId="15" xfId="2" applyFill="1" applyBorder="1" applyAlignment="1" applyProtection="1">
      <alignment horizontal="center" vertical="center"/>
      <protection locked="0"/>
    </xf>
    <xf numFmtId="0" fontId="2" fillId="10" borderId="16" xfId="2" applyFill="1" applyBorder="1" applyProtection="1">
      <alignment vertical="center"/>
      <protection locked="0"/>
    </xf>
    <xf numFmtId="0" fontId="2" fillId="9" borderId="17" xfId="2" applyFill="1" applyBorder="1" applyAlignment="1" applyProtection="1">
      <alignment horizontal="center" vertical="center"/>
      <protection locked="0"/>
    </xf>
    <xf numFmtId="0" fontId="2" fillId="4" borderId="0" xfId="2" applyFill="1" applyAlignment="1">
      <alignment horizontal="center" vertical="center"/>
    </xf>
    <xf numFmtId="0" fontId="2" fillId="0" borderId="19" xfId="2" applyBorder="1" applyAlignment="1" applyProtection="1">
      <alignment horizontal="left" vertical="center"/>
      <protection locked="0"/>
    </xf>
    <xf numFmtId="0" fontId="2" fillId="0" borderId="20" xfId="2" applyBorder="1" applyAlignment="1" applyProtection="1">
      <alignment horizontal="center" vertical="center"/>
      <protection locked="0"/>
    </xf>
    <xf numFmtId="0" fontId="5" fillId="0" borderId="21" xfId="2" applyFont="1" applyBorder="1" applyAlignment="1" applyProtection="1">
      <alignment horizontal="center" vertical="center"/>
      <protection locked="0"/>
    </xf>
    <xf numFmtId="0" fontId="2" fillId="0" borderId="4" xfId="2" applyBorder="1" applyAlignment="1" applyProtection="1">
      <alignment horizontal="center" vertical="center"/>
      <protection locked="0"/>
    </xf>
    <xf numFmtId="1" fontId="2" fillId="0" borderId="0" xfId="2" applyNumberFormat="1" applyAlignment="1">
      <alignment horizontal="center" vertical="center"/>
    </xf>
    <xf numFmtId="0" fontId="2" fillId="0" borderId="36" xfId="2" applyBorder="1" applyAlignment="1">
      <alignment horizontal="center" vertical="top" wrapText="1"/>
    </xf>
    <xf numFmtId="0" fontId="2" fillId="0" borderId="37" xfId="2" applyBorder="1" applyAlignment="1">
      <alignment horizontal="center" vertical="top" wrapText="1"/>
    </xf>
    <xf numFmtId="0" fontId="2" fillId="10" borderId="22" xfId="2" applyFill="1" applyBorder="1" applyAlignment="1" applyProtection="1">
      <alignment horizontal="left" vertical="center"/>
      <protection locked="0"/>
    </xf>
    <xf numFmtId="0" fontId="2" fillId="10" borderId="23" xfId="2" applyFill="1" applyBorder="1" applyAlignment="1" applyProtection="1">
      <alignment horizontal="center" vertical="center"/>
      <protection locked="0"/>
    </xf>
    <xf numFmtId="0" fontId="2" fillId="10" borderId="24" xfId="2" applyFill="1" applyBorder="1" applyAlignment="1" applyProtection="1">
      <alignment horizontal="center" vertical="center"/>
      <protection locked="0"/>
    </xf>
    <xf numFmtId="0" fontId="7" fillId="10" borderId="25" xfId="2" applyFont="1" applyFill="1" applyBorder="1" applyAlignment="1" applyProtection="1">
      <alignment horizontal="center" vertical="center"/>
      <protection locked="0"/>
    </xf>
    <xf numFmtId="9" fontId="2" fillId="10" borderId="3" xfId="3" applyFill="1" applyBorder="1" applyAlignment="1">
      <alignment horizontal="center"/>
      <protection locked="0"/>
    </xf>
    <xf numFmtId="1" fontId="2" fillId="4" borderId="0" xfId="2" applyNumberFormat="1" applyFill="1" applyAlignment="1">
      <alignment horizontal="center" vertical="center"/>
    </xf>
  </cellXfs>
  <cellStyles count="5">
    <cellStyle name="Normal" xfId="0" builtinId="0"/>
    <cellStyle name="Normal 2" xfId="4" xr:uid="{E7E30ED3-2EF8-4D6A-95C7-1B70278461BA}"/>
    <cellStyle name="Normal 5" xfId="2" xr:uid="{8889D500-66E4-493F-BE7E-11D15E042725}"/>
    <cellStyle name="Porcentagem" xfId="1" builtinId="5"/>
    <cellStyle name="Porcentagem 3" xfId="3" xr:uid="{FD5B6795-443D-408E-B99E-734FEFFFD67A}"/>
  </cellStyles>
  <dxfs count="66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'AUDITORIA MA'!$I$1:$T$1</c:f>
              <c:strCache>
                <c:ptCount val="12"/>
                <c:pt idx="0">
                  <c:v>SELEÇÃO</c:v>
                </c:pt>
                <c:pt idx="1">
                  <c:v>RECEBIMENTO</c:v>
                </c:pt>
                <c:pt idx="2">
                  <c:v>LOW RISK </c:v>
                </c:pt>
                <c:pt idx="3">
                  <c:v>HIGH CARE</c:v>
                </c:pt>
                <c:pt idx="4">
                  <c:v>RESÍDUO</c:v>
                </c:pt>
                <c:pt idx="5">
                  <c:v>ETIQUETA</c:v>
                </c:pt>
                <c:pt idx="6">
                  <c:v>EXPEDIÇÃO</c:v>
                </c:pt>
                <c:pt idx="7">
                  <c:v>ALMOXARIFADO</c:v>
                </c:pt>
                <c:pt idx="8">
                  <c:v>LAVANDERIA</c:v>
                </c:pt>
                <c:pt idx="9">
                  <c:v>MANUTENÇÃO</c:v>
                </c:pt>
                <c:pt idx="10">
                  <c:v>ETE / ETA</c:v>
                </c:pt>
                <c:pt idx="11">
                  <c:v>ADMINISTRATIVOS</c:v>
                </c:pt>
              </c:strCache>
            </c:strRef>
          </c:cat>
          <c:val>
            <c:numRef>
              <c:f>'AUDITORIA MA'!$I$22:$T$22</c:f>
              <c:numCache>
                <c:formatCode>General</c:formatCode>
                <c:ptCount val="12"/>
                <c:pt idx="0">
                  <c:v>12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12</c:v>
                </c:pt>
                <c:pt idx="8">
                  <c:v>11</c:v>
                </c:pt>
                <c:pt idx="9">
                  <c:v>13</c:v>
                </c:pt>
                <c:pt idx="10">
                  <c:v>14</c:v>
                </c:pt>
                <c:pt idx="11">
                  <c:v>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ATENDE</c:v>
                </c15:tx>
              </c15:filteredSeriesTitle>
            </c:ext>
            <c:ext xmlns:c16="http://schemas.microsoft.com/office/drawing/2014/chart" uri="{C3380CC4-5D6E-409C-BE32-E72D297353CC}">
              <c16:uniqueId val="{00000000-64F2-43CB-B502-2AC556980F63}"/>
            </c:ext>
          </c:extLst>
        </c:ser>
        <c:ser>
          <c:idx val="3"/>
          <c:order val="2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'AUDITORIA MA'!$I$1:$T$1</c:f>
              <c:strCache>
                <c:ptCount val="12"/>
                <c:pt idx="0">
                  <c:v>SELEÇÃO</c:v>
                </c:pt>
                <c:pt idx="1">
                  <c:v>RECEBIMENTO</c:v>
                </c:pt>
                <c:pt idx="2">
                  <c:v>LOW RISK </c:v>
                </c:pt>
                <c:pt idx="3">
                  <c:v>HIGH CARE</c:v>
                </c:pt>
                <c:pt idx="4">
                  <c:v>RESÍDUO</c:v>
                </c:pt>
                <c:pt idx="5">
                  <c:v>ETIQUETA</c:v>
                </c:pt>
                <c:pt idx="6">
                  <c:v>EXPEDIÇÃO</c:v>
                </c:pt>
                <c:pt idx="7">
                  <c:v>ALMOXARIFADO</c:v>
                </c:pt>
                <c:pt idx="8">
                  <c:v>LAVANDERIA</c:v>
                </c:pt>
                <c:pt idx="9">
                  <c:v>MANUTENÇÃO</c:v>
                </c:pt>
                <c:pt idx="10">
                  <c:v>ETE / ETA</c:v>
                </c:pt>
                <c:pt idx="11">
                  <c:v>ADMINISTRATIVOS</c:v>
                </c:pt>
              </c:strCache>
            </c:strRef>
          </c:cat>
          <c:val>
            <c:numRef>
              <c:f>'AUDITORIA MA'!$I$24:$T$24</c:f>
              <c:numCache>
                <c:formatCode>General</c:formatCode>
                <c:ptCount val="12"/>
                <c:pt idx="0">
                  <c:v>6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6</c:v>
                </c:pt>
                <c:pt idx="8">
                  <c:v>6</c:v>
                </c:pt>
                <c:pt idx="9">
                  <c:v>4</c:v>
                </c:pt>
                <c:pt idx="10">
                  <c:v>3</c:v>
                </c:pt>
                <c:pt idx="11">
                  <c:v>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NÃO ATENDE</c:v>
                </c15:tx>
              </c15:filteredSeriesTitle>
            </c:ext>
            <c:ext xmlns:c16="http://schemas.microsoft.com/office/drawing/2014/chart" uri="{C3380CC4-5D6E-409C-BE32-E72D297353CC}">
              <c16:uniqueId val="{00000001-64F2-43CB-B502-2AC556980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83874480"/>
        <c:axId val="19838807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'AUDITORIA MA'!$I$1:$T$1</c15:sqref>
                        </c15:formulaRef>
                      </c:ext>
                    </c:extLst>
                    <c:strCache>
                      <c:ptCount val="12"/>
                      <c:pt idx="0">
                        <c:v>SELEÇÃO</c:v>
                      </c:pt>
                      <c:pt idx="1">
                        <c:v>RECEBIMENTO</c:v>
                      </c:pt>
                      <c:pt idx="2">
                        <c:v>LOW RISK </c:v>
                      </c:pt>
                      <c:pt idx="3">
                        <c:v>HIGH CARE</c:v>
                      </c:pt>
                      <c:pt idx="4">
                        <c:v>RESÍDUO</c:v>
                      </c:pt>
                      <c:pt idx="5">
                        <c:v>ETIQUETA</c:v>
                      </c:pt>
                      <c:pt idx="6">
                        <c:v>EXPEDIÇÃO</c:v>
                      </c:pt>
                      <c:pt idx="7">
                        <c:v>ALMOXARIFADO</c:v>
                      </c:pt>
                      <c:pt idx="8">
                        <c:v>LAVANDERIA</c:v>
                      </c:pt>
                      <c:pt idx="9">
                        <c:v>MANUTENÇÃO</c:v>
                      </c:pt>
                      <c:pt idx="10">
                        <c:v>ETE / ETA</c:v>
                      </c:pt>
                      <c:pt idx="11">
                        <c:v>ADMINISTRATIVOS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'AUDITORIA MA'!$I$2:$T$2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4F2-43CB-B502-2AC556980F63}"/>
                  </c:ext>
                </c:extLst>
              </c15:ser>
            </c15:filteredBarSeries>
            <c15:filteredBarSeries>
              <c15:ser>
                <c:idx val="2"/>
                <c:order val="3"/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'AUDITORIA MA'!$I$1:$T$1</c15:sqref>
                        </c15:formulaRef>
                      </c:ext>
                    </c:extLst>
                    <c:strCache>
                      <c:ptCount val="12"/>
                      <c:pt idx="0">
                        <c:v>SELEÇÃO</c:v>
                      </c:pt>
                      <c:pt idx="1">
                        <c:v>RECEBIMENTO</c:v>
                      </c:pt>
                      <c:pt idx="2">
                        <c:v>LOW RISK </c:v>
                      </c:pt>
                      <c:pt idx="3">
                        <c:v>HIGH CARE</c:v>
                      </c:pt>
                      <c:pt idx="4">
                        <c:v>RESÍDUO</c:v>
                      </c:pt>
                      <c:pt idx="5">
                        <c:v>ETIQUETA</c:v>
                      </c:pt>
                      <c:pt idx="6">
                        <c:v>EXPEDIÇÃO</c:v>
                      </c:pt>
                      <c:pt idx="7">
                        <c:v>ALMOXARIFADO</c:v>
                      </c:pt>
                      <c:pt idx="8">
                        <c:v>LAVANDERIA</c:v>
                      </c:pt>
                      <c:pt idx="9">
                        <c:v>MANUTENÇÃO</c:v>
                      </c:pt>
                      <c:pt idx="10">
                        <c:v>ETE / ETA</c:v>
                      </c:pt>
                      <c:pt idx="11">
                        <c:v>ADMINISTRATIVOS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'AUDITORIA MA'!$I$23:$T$23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v>NÃO SE APLICA</c:v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3-64F2-43CB-B502-2AC556980F63}"/>
                  </c:ext>
                </c:extLst>
              </c15:ser>
            </c15:filteredBarSeries>
          </c:ext>
        </c:extLst>
      </c:barChart>
      <c:catAx>
        <c:axId val="198387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3880720"/>
        <c:crosses val="autoZero"/>
        <c:auto val="1"/>
        <c:lblAlgn val="ctr"/>
        <c:lblOffset val="100"/>
        <c:noMultiLvlLbl val="0"/>
      </c:catAx>
      <c:valAx>
        <c:axId val="198388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387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A9-4C05-9E59-931542AE45E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A9-4C05-9E59-931542AE45E4}"/>
              </c:ext>
            </c:extLst>
          </c:dPt>
          <c:cat>
            <c:strRef>
              <c:f>'AUDITORIA MA'!$H$22:$H$23</c:f>
              <c:strCache>
                <c:ptCount val="2"/>
                <c:pt idx="0">
                  <c:v>Atende</c:v>
                </c:pt>
                <c:pt idx="1">
                  <c:v>Não Atende</c:v>
                </c:pt>
              </c:strCache>
            </c:strRef>
          </c:cat>
          <c:val>
            <c:numRef>
              <c:f>'AUDITORIA MA'!$U$22:$U$23</c:f>
              <c:numCache>
                <c:formatCode>General</c:formatCode>
                <c:ptCount val="2"/>
                <c:pt idx="0">
                  <c:v>132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A9-4C05-9E59-931542AE45E4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8A9-4C05-9E59-931542AE45E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28A9-4C05-9E59-931542AE45E4}"/>
              </c:ext>
            </c:extLst>
          </c:dPt>
          <c:cat>
            <c:strRef>
              <c:f>'AUDITORIA MA'!$H$22:$H$23</c:f>
              <c:strCache>
                <c:ptCount val="2"/>
                <c:pt idx="0">
                  <c:v>Atende</c:v>
                </c:pt>
                <c:pt idx="1">
                  <c:v>Não Atende</c:v>
                </c:pt>
              </c:strCache>
            </c:strRef>
          </c:cat>
          <c:val>
            <c:numRef>
              <c:f>'AUDITORIA MA'!$V$22:$V$23</c:f>
              <c:numCache>
                <c:formatCode>0%</c:formatCode>
                <c:ptCount val="2"/>
                <c:pt idx="0">
                  <c:v>0.96350364963503654</c:v>
                </c:pt>
                <c:pt idx="1">
                  <c:v>3.6496350364963501E-2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8A9-4C05-9E59-931542AE4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'AUDITORIA MA'!$C$27</c:f>
              <c:strCache>
                <c:ptCount val="1"/>
                <c:pt idx="0">
                  <c:v>OK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'AUDITORIA MA'!$A$28:$A$39</c:f>
              <c:strCache>
                <c:ptCount val="12"/>
                <c:pt idx="0">
                  <c:v>SELEÇÃO </c:v>
                </c:pt>
                <c:pt idx="1">
                  <c:v>RECEBIMENTO</c:v>
                </c:pt>
                <c:pt idx="2">
                  <c:v>LOW RISK </c:v>
                </c:pt>
                <c:pt idx="3">
                  <c:v>HIGH CARE</c:v>
                </c:pt>
                <c:pt idx="4">
                  <c:v>RESÍDUO</c:v>
                </c:pt>
                <c:pt idx="5">
                  <c:v>ETIQUETA</c:v>
                </c:pt>
                <c:pt idx="6">
                  <c:v>EXPEDIÇÃO</c:v>
                </c:pt>
                <c:pt idx="7">
                  <c:v>ALMOXARIFADO</c:v>
                </c:pt>
                <c:pt idx="8">
                  <c:v>LAVANDERIA</c:v>
                </c:pt>
                <c:pt idx="9">
                  <c:v>MANUTENÇÃO</c:v>
                </c:pt>
                <c:pt idx="10">
                  <c:v>ETE/ETA</c:v>
                </c:pt>
                <c:pt idx="11">
                  <c:v>ADMINISTRATIVOS</c:v>
                </c:pt>
              </c:strCache>
            </c:strRef>
          </c:cat>
          <c:val>
            <c:numRef>
              <c:f>'AUDITORIA MA'!$C$28:$C$39</c:f>
              <c:numCache>
                <c:formatCode>General</c:formatCode>
                <c:ptCount val="12"/>
                <c:pt idx="0">
                  <c:v>12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12</c:v>
                </c:pt>
                <c:pt idx="8">
                  <c:v>11</c:v>
                </c:pt>
                <c:pt idx="9">
                  <c:v>13</c:v>
                </c:pt>
                <c:pt idx="10">
                  <c:v>14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2-40BC-BB71-896EDAE1907D}"/>
            </c:ext>
          </c:extLst>
        </c:ser>
        <c:ser>
          <c:idx val="2"/>
          <c:order val="2"/>
          <c:tx>
            <c:strRef>
              <c:f>'AUDITORIA MA'!$D$27</c:f>
              <c:strCache>
                <c:ptCount val="1"/>
                <c:pt idx="0">
                  <c:v>NÃO OK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'AUDITORIA MA'!$A$28:$A$39</c:f>
              <c:strCache>
                <c:ptCount val="12"/>
                <c:pt idx="0">
                  <c:v>SELEÇÃO </c:v>
                </c:pt>
                <c:pt idx="1">
                  <c:v>RECEBIMENTO</c:v>
                </c:pt>
                <c:pt idx="2">
                  <c:v>LOW RISK </c:v>
                </c:pt>
                <c:pt idx="3">
                  <c:v>HIGH CARE</c:v>
                </c:pt>
                <c:pt idx="4">
                  <c:v>RESÍDUO</c:v>
                </c:pt>
                <c:pt idx="5">
                  <c:v>ETIQUETA</c:v>
                </c:pt>
                <c:pt idx="6">
                  <c:v>EXPEDIÇÃO</c:v>
                </c:pt>
                <c:pt idx="7">
                  <c:v>ALMOXARIFADO</c:v>
                </c:pt>
                <c:pt idx="8">
                  <c:v>LAVANDERIA</c:v>
                </c:pt>
                <c:pt idx="9">
                  <c:v>MANUTENÇÃO</c:v>
                </c:pt>
                <c:pt idx="10">
                  <c:v>ETE/ETA</c:v>
                </c:pt>
                <c:pt idx="11">
                  <c:v>ADMINISTRATIVOS</c:v>
                </c:pt>
              </c:strCache>
            </c:strRef>
          </c:cat>
          <c:val>
            <c:numRef>
              <c:f>'AUDITORIA MA'!$D$28:$D$39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82-40BC-BB71-896EDAE1907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01735200"/>
        <c:axId val="17017395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'AUDITORIA MA'!$B$27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'AUDITORIA MA'!$A$28:$A$39</c15:sqref>
                        </c15:formulaRef>
                      </c:ext>
                    </c:extLst>
                    <c:strCache>
                      <c:ptCount val="12"/>
                      <c:pt idx="0">
                        <c:v>SELEÇÃO </c:v>
                      </c:pt>
                      <c:pt idx="1">
                        <c:v>RECEBIMENTO</c:v>
                      </c:pt>
                      <c:pt idx="2">
                        <c:v>LOW RISK </c:v>
                      </c:pt>
                      <c:pt idx="3">
                        <c:v>HIGH CARE</c:v>
                      </c:pt>
                      <c:pt idx="4">
                        <c:v>RESÍDUO</c:v>
                      </c:pt>
                      <c:pt idx="5">
                        <c:v>ETIQUETA</c:v>
                      </c:pt>
                      <c:pt idx="6">
                        <c:v>EXPEDIÇÃO</c:v>
                      </c:pt>
                      <c:pt idx="7">
                        <c:v>ALMOXARIFADO</c:v>
                      </c:pt>
                      <c:pt idx="8">
                        <c:v>LAVANDERIA</c:v>
                      </c:pt>
                      <c:pt idx="9">
                        <c:v>MANUTENÇÃO</c:v>
                      </c:pt>
                      <c:pt idx="10">
                        <c:v>ETE/ETA</c:v>
                      </c:pt>
                      <c:pt idx="11">
                        <c:v>ADMINISTRATIVOS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'AUDITORIA MA'!$B$28:$B$39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82-40BC-BB71-896EDAE1907D}"/>
                  </c:ext>
                </c:extLst>
              </c15:ser>
            </c15:filteredBarSeries>
          </c:ext>
        </c:extLst>
      </c:barChart>
      <c:catAx>
        <c:axId val="170173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1739520"/>
        <c:crosses val="autoZero"/>
        <c:auto val="1"/>
        <c:lblAlgn val="ctr"/>
        <c:lblOffset val="100"/>
        <c:noMultiLvlLbl val="0"/>
      </c:catAx>
      <c:valAx>
        <c:axId val="17017395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0173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v>ATENDE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'AUDITORIA ST'!$L$1:$W$1</c:f>
              <c:strCache>
                <c:ptCount val="12"/>
                <c:pt idx="0">
                  <c:v>SELEÇÃO</c:v>
                </c:pt>
                <c:pt idx="1">
                  <c:v>RECEBIMENTO</c:v>
                </c:pt>
                <c:pt idx="2">
                  <c:v>LOW RISK </c:v>
                </c:pt>
                <c:pt idx="3">
                  <c:v>HIGH CARE</c:v>
                </c:pt>
                <c:pt idx="4">
                  <c:v>RESÍDUO</c:v>
                </c:pt>
                <c:pt idx="5">
                  <c:v>ETIQUETA</c:v>
                </c:pt>
                <c:pt idx="6">
                  <c:v>EXPEDIÇÃO</c:v>
                </c:pt>
                <c:pt idx="7">
                  <c:v>ALMOXARIFADO</c:v>
                </c:pt>
                <c:pt idx="8">
                  <c:v>LAVANDERIA</c:v>
                </c:pt>
                <c:pt idx="9">
                  <c:v>MANUTENÇÃO</c:v>
                </c:pt>
                <c:pt idx="10">
                  <c:v>ETE / ETA</c:v>
                </c:pt>
                <c:pt idx="11">
                  <c:v>ADMINISTRATIVOS</c:v>
                </c:pt>
              </c:strCache>
            </c:strRef>
          </c:cat>
          <c:val>
            <c:numRef>
              <c:f>'AUDITORIA ST'!$L$91:$W$91</c:f>
              <c:numCache>
                <c:formatCode>General</c:formatCode>
                <c:ptCount val="12"/>
                <c:pt idx="0">
                  <c:v>51</c:v>
                </c:pt>
                <c:pt idx="1">
                  <c:v>24</c:v>
                </c:pt>
                <c:pt idx="2">
                  <c:v>29</c:v>
                </c:pt>
                <c:pt idx="3">
                  <c:v>33</c:v>
                </c:pt>
                <c:pt idx="4">
                  <c:v>46</c:v>
                </c:pt>
                <c:pt idx="5">
                  <c:v>38</c:v>
                </c:pt>
                <c:pt idx="6">
                  <c:v>34</c:v>
                </c:pt>
                <c:pt idx="7">
                  <c:v>35</c:v>
                </c:pt>
                <c:pt idx="8">
                  <c:v>33</c:v>
                </c:pt>
                <c:pt idx="9">
                  <c:v>55</c:v>
                </c:pt>
                <c:pt idx="10">
                  <c:v>34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5-4E7D-A557-8C900755AEC6}"/>
            </c:ext>
          </c:extLst>
        </c:ser>
        <c:ser>
          <c:idx val="2"/>
          <c:order val="2"/>
          <c:tx>
            <c:v>NÃO ATENDE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'AUDITORIA ST'!$L$1:$W$1</c:f>
              <c:strCache>
                <c:ptCount val="12"/>
                <c:pt idx="0">
                  <c:v>SELEÇÃO</c:v>
                </c:pt>
                <c:pt idx="1">
                  <c:v>RECEBIMENTO</c:v>
                </c:pt>
                <c:pt idx="2">
                  <c:v>LOW RISK </c:v>
                </c:pt>
                <c:pt idx="3">
                  <c:v>HIGH CARE</c:v>
                </c:pt>
                <c:pt idx="4">
                  <c:v>RESÍDUO</c:v>
                </c:pt>
                <c:pt idx="5">
                  <c:v>ETIQUETA</c:v>
                </c:pt>
                <c:pt idx="6">
                  <c:v>EXPEDIÇÃO</c:v>
                </c:pt>
                <c:pt idx="7">
                  <c:v>ALMOXARIFADO</c:v>
                </c:pt>
                <c:pt idx="8">
                  <c:v>LAVANDERIA</c:v>
                </c:pt>
                <c:pt idx="9">
                  <c:v>MANUTENÇÃO</c:v>
                </c:pt>
                <c:pt idx="10">
                  <c:v>ETE / ETA</c:v>
                </c:pt>
                <c:pt idx="11">
                  <c:v>ADMINISTRATIVOS</c:v>
                </c:pt>
              </c:strCache>
            </c:strRef>
          </c:cat>
          <c:val>
            <c:numRef>
              <c:f>'AUDITORIA ST'!$L$92:$W$92</c:f>
              <c:numCache>
                <c:formatCode>General</c:formatCode>
                <c:ptCount val="12"/>
                <c:pt idx="0">
                  <c:v>16</c:v>
                </c:pt>
                <c:pt idx="1">
                  <c:v>3</c:v>
                </c:pt>
                <c:pt idx="2">
                  <c:v>3</c:v>
                </c:pt>
                <c:pt idx="3">
                  <c:v>11</c:v>
                </c:pt>
                <c:pt idx="4">
                  <c:v>2</c:v>
                </c:pt>
                <c:pt idx="5">
                  <c:v>6</c:v>
                </c:pt>
                <c:pt idx="6">
                  <c:v>1</c:v>
                </c:pt>
                <c:pt idx="7">
                  <c:v>7</c:v>
                </c:pt>
                <c:pt idx="8">
                  <c:v>2</c:v>
                </c:pt>
                <c:pt idx="9">
                  <c:v>5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5-4E7D-A557-8C900755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0147312"/>
        <c:axId val="5501559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'AUDITORIA ST'!$L$1:$W$1</c15:sqref>
                        </c15:formulaRef>
                      </c:ext>
                    </c:extLst>
                    <c:strCache>
                      <c:ptCount val="12"/>
                      <c:pt idx="0">
                        <c:v>SELEÇÃO</c:v>
                      </c:pt>
                      <c:pt idx="1">
                        <c:v>RECEBIMENTO</c:v>
                      </c:pt>
                      <c:pt idx="2">
                        <c:v>LOW RISK </c:v>
                      </c:pt>
                      <c:pt idx="3">
                        <c:v>HIGH CARE</c:v>
                      </c:pt>
                      <c:pt idx="4">
                        <c:v>RESÍDUO</c:v>
                      </c:pt>
                      <c:pt idx="5">
                        <c:v>ETIQUETA</c:v>
                      </c:pt>
                      <c:pt idx="6">
                        <c:v>EXPEDIÇÃO</c:v>
                      </c:pt>
                      <c:pt idx="7">
                        <c:v>ALMOXARIFADO</c:v>
                      </c:pt>
                      <c:pt idx="8">
                        <c:v>LAVANDERIA</c:v>
                      </c:pt>
                      <c:pt idx="9">
                        <c:v>MANUTENÇÃO</c:v>
                      </c:pt>
                      <c:pt idx="10">
                        <c:v>ETE / ETA</c:v>
                      </c:pt>
                      <c:pt idx="11">
                        <c:v>ADMINISTRATIVOS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'AUDITORIA ST'!$L$2:$W$2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CF5-4E7D-A557-8C900755AEC6}"/>
                  </c:ext>
                </c:extLst>
              </c15:ser>
            </c15:filteredBarSeries>
          </c:ext>
        </c:extLst>
      </c:barChart>
      <c:catAx>
        <c:axId val="55014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0155952"/>
        <c:crosses val="autoZero"/>
        <c:auto val="1"/>
        <c:lblAlgn val="ctr"/>
        <c:lblOffset val="100"/>
        <c:noMultiLvlLbl val="0"/>
      </c:catAx>
      <c:valAx>
        <c:axId val="55015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014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360045</xdr:colOff>
      <xdr:row>47</xdr:row>
      <xdr:rowOff>26676</xdr:rowOff>
    </xdr:from>
    <xdr:to>
      <xdr:col>21</xdr:col>
      <xdr:colOff>278130</xdr:colOff>
      <xdr:row>63</xdr:row>
      <xdr:rowOff>30486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CF25A14-8B8A-446A-9CF4-C25EC2D7EF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350520</xdr:colOff>
      <xdr:row>30</xdr:row>
      <xdr:rowOff>87636</xdr:rowOff>
    </xdr:from>
    <xdr:to>
      <xdr:col>20</xdr:col>
      <xdr:colOff>628650</xdr:colOff>
      <xdr:row>46</xdr:row>
      <xdr:rowOff>47631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BEA3D62-6FCA-44A5-A7C2-00929713D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76200</xdr:colOff>
      <xdr:row>43</xdr:row>
      <xdr:rowOff>156210</xdr:rowOff>
    </xdr:from>
    <xdr:to>
      <xdr:col>6</xdr:col>
      <xdr:colOff>739140</xdr:colOff>
      <xdr:row>60</xdr:row>
      <xdr:rowOff>49530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7A1B6E5-9CF7-44DE-9B2D-46E042787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25310</xdr:colOff>
      <xdr:row>102</xdr:row>
      <xdr:rowOff>49068</xdr:rowOff>
    </xdr:from>
    <xdr:to>
      <xdr:col>22</xdr:col>
      <xdr:colOff>262054</xdr:colOff>
      <xdr:row>118</xdr:row>
      <xdr:rowOff>61314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5AD11DC-BD79-46FD-8B3C-AFB8F3AF03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lueskies2-my.sharepoint.com/personal/gabrielly_midian_blueskies_com/Documents/Arquivos%20de%20Chat%20do%20Microsoft%20Teams/03_Inspe&#231;&#227;o_e_Auditoria_Interna.xlsm" TargetMode="External"/><Relationship Id="rId1" Type="http://schemas.openxmlformats.org/officeDocument/2006/relationships/externalLinkPath" Target="https://blueskies2-my.sharepoint.com/personal/gabrielly_midian_blueskies_com/Documents/Arquivos%20de%20Chat%20do%20Microsoft%20Teams/03_Inspe&#231;&#227;o_e_Auditoria_Interna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ers/diogo/Desktop/GEST&#195;O%20DEPARTAMENTO%20EHS.xlsb.xlsm" TargetMode="External"/><Relationship Id="rId2" Type="http://schemas.openxmlformats.org/officeDocument/2006/relationships/externalLinkPath" Target="file:///C:\Users\diogo\Desktop\GEST&#195;O%20DEPARTAMENTO%20EHS.xlsb.xlsm" TargetMode="External"/><Relationship Id="rId1" Type="http://schemas.openxmlformats.org/officeDocument/2006/relationships/externalLinkPath" Target="/Users/diogo/Desktop/GEST&#195;O%20DEPARTAMENTO%20EHS.xlsb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tividades%20Chav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ÁFICO AÇÕES INGLES"/>
      <sheetName val="ENGLISH EVIDENCE"/>
      <sheetName val="GRÁFICO AÇÕES AUD EXTERNA"/>
      <sheetName val="GRÁFICO AÇÕES EHS"/>
      <sheetName val="AUDITORIA EXTERNA"/>
      <sheetName val="EVIDÊNCIAS"/>
      <sheetName val="PLANO DE TRABALHO"/>
      <sheetName val="AUDITORIA MA"/>
      <sheetName val="AUDITORIAS GESTÃO"/>
      <sheetName val="GRÁFICOS AUDITORIA SEG TRAB"/>
      <sheetName val="GRÁFICOS AUDITORIA MA"/>
      <sheetName val="AUDITORIA ST"/>
      <sheetName val="GRÁFICO AÇÕES"/>
      <sheetName val="GRÁFICOS AUDITORIA SEG TRAB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K2" t="str">
            <v>SELEÇÃO</v>
          </cell>
          <cell r="L2" t="str">
            <v>RECEBIMENTO</v>
          </cell>
          <cell r="M2" t="str">
            <v xml:space="preserve">LOW RISK </v>
          </cell>
          <cell r="N2" t="str">
            <v>HIGH CARE</v>
          </cell>
          <cell r="O2" t="str">
            <v>RESÍDUO</v>
          </cell>
          <cell r="P2" t="str">
            <v>ETIQUETA</v>
          </cell>
          <cell r="Q2" t="str">
            <v>EXPEDIÇÃO</v>
          </cell>
          <cell r="R2" t="str">
            <v>ALMOXARIFADO</v>
          </cell>
          <cell r="S2" t="str">
            <v>LAVANDERIA</v>
          </cell>
          <cell r="T2" t="str">
            <v>MANUTENÇÃO</v>
          </cell>
          <cell r="U2" t="str">
            <v>ETE / ETA</v>
          </cell>
          <cell r="V2" t="str">
            <v>ADMINISTRATIVOS</v>
          </cell>
        </row>
        <row r="23">
          <cell r="J23" t="str">
            <v>Atende</v>
          </cell>
          <cell r="K23">
            <v>12</v>
          </cell>
          <cell r="L23">
            <v>10</v>
          </cell>
          <cell r="M23">
            <v>12</v>
          </cell>
          <cell r="N23">
            <v>10</v>
          </cell>
          <cell r="O23">
            <v>9</v>
          </cell>
          <cell r="P23">
            <v>10</v>
          </cell>
          <cell r="Q23">
            <v>10</v>
          </cell>
          <cell r="R23">
            <v>12</v>
          </cell>
          <cell r="S23">
            <v>11</v>
          </cell>
          <cell r="T23">
            <v>13</v>
          </cell>
          <cell r="U23">
            <v>14</v>
          </cell>
          <cell r="V23">
            <v>9</v>
          </cell>
          <cell r="W23">
            <v>132</v>
          </cell>
          <cell r="X23">
            <v>0.96350364963503654</v>
          </cell>
        </row>
        <row r="24">
          <cell r="J24" t="str">
            <v>Não Atende</v>
          </cell>
          <cell r="K24">
            <v>0</v>
          </cell>
          <cell r="L24">
            <v>0</v>
          </cell>
          <cell r="M24">
            <v>0</v>
          </cell>
          <cell r="N24">
            <v>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</v>
          </cell>
          <cell r="U24">
            <v>1</v>
          </cell>
          <cell r="V24">
            <v>1</v>
          </cell>
          <cell r="W24">
            <v>5</v>
          </cell>
          <cell r="X24">
            <v>3.6496350364963501E-2</v>
          </cell>
        </row>
        <row r="25">
          <cell r="K25">
            <v>6</v>
          </cell>
          <cell r="L25">
            <v>8</v>
          </cell>
          <cell r="M25">
            <v>6</v>
          </cell>
          <cell r="N25">
            <v>6</v>
          </cell>
          <cell r="O25">
            <v>9</v>
          </cell>
          <cell r="P25">
            <v>8</v>
          </cell>
          <cell r="Q25">
            <v>8</v>
          </cell>
          <cell r="R25">
            <v>6</v>
          </cell>
          <cell r="S25">
            <v>6</v>
          </cell>
          <cell r="T25">
            <v>4</v>
          </cell>
          <cell r="U25">
            <v>3</v>
          </cell>
          <cell r="V25">
            <v>8</v>
          </cell>
        </row>
        <row r="28">
          <cell r="E28" t="str">
            <v>OK</v>
          </cell>
          <cell r="F28" t="str">
            <v>NÃO OK</v>
          </cell>
        </row>
        <row r="29">
          <cell r="C29" t="str">
            <v xml:space="preserve">SELEÇÃO </v>
          </cell>
          <cell r="E29">
            <v>12</v>
          </cell>
          <cell r="F29">
            <v>0</v>
          </cell>
        </row>
        <row r="30">
          <cell r="C30" t="str">
            <v>RECEBIMENTO</v>
          </cell>
          <cell r="E30">
            <v>10</v>
          </cell>
          <cell r="F30">
            <v>0</v>
          </cell>
        </row>
        <row r="31">
          <cell r="C31" t="str">
            <v xml:space="preserve">LOW RISK </v>
          </cell>
          <cell r="E31">
            <v>12</v>
          </cell>
          <cell r="F31">
            <v>0</v>
          </cell>
        </row>
        <row r="32">
          <cell r="C32" t="str">
            <v>HIGH CARE</v>
          </cell>
          <cell r="E32">
            <v>10</v>
          </cell>
          <cell r="F32">
            <v>2</v>
          </cell>
        </row>
        <row r="33">
          <cell r="C33" t="str">
            <v>RESÍDUO</v>
          </cell>
          <cell r="E33">
            <v>9</v>
          </cell>
          <cell r="F33">
            <v>0</v>
          </cell>
        </row>
        <row r="34">
          <cell r="C34" t="str">
            <v>ETIQUETA</v>
          </cell>
          <cell r="E34">
            <v>10</v>
          </cell>
          <cell r="F34">
            <v>0</v>
          </cell>
        </row>
        <row r="35">
          <cell r="C35" t="str">
            <v>EXPEDIÇÃO</v>
          </cell>
          <cell r="E35">
            <v>10</v>
          </cell>
          <cell r="F35">
            <v>0</v>
          </cell>
        </row>
        <row r="36">
          <cell r="C36" t="str">
            <v>ALMOXARIFADO</v>
          </cell>
          <cell r="E36">
            <v>12</v>
          </cell>
          <cell r="F36">
            <v>0</v>
          </cell>
        </row>
        <row r="37">
          <cell r="C37" t="str">
            <v>LAVANDERIA</v>
          </cell>
          <cell r="E37">
            <v>11</v>
          </cell>
          <cell r="F37">
            <v>0</v>
          </cell>
        </row>
        <row r="38">
          <cell r="C38" t="str">
            <v>MANUTENÇÃO</v>
          </cell>
          <cell r="E38">
            <v>13</v>
          </cell>
          <cell r="F38">
            <v>1</v>
          </cell>
        </row>
        <row r="39">
          <cell r="C39" t="str">
            <v>ETE/ETA</v>
          </cell>
          <cell r="E39">
            <v>14</v>
          </cell>
          <cell r="F39">
            <v>1</v>
          </cell>
        </row>
        <row r="40">
          <cell r="C40" t="str">
            <v>ADMINISTRATIVOS</v>
          </cell>
          <cell r="E40">
            <v>9</v>
          </cell>
          <cell r="F40">
            <v>1</v>
          </cell>
        </row>
      </sheetData>
      <sheetData sheetId="8"/>
      <sheetData sheetId="9"/>
      <sheetData sheetId="10"/>
      <sheetData sheetId="11">
        <row r="2">
          <cell r="N2" t="str">
            <v>SELEÇÃO</v>
          </cell>
          <cell r="O2" t="str">
            <v>RECEBIMENTO</v>
          </cell>
          <cell r="P2" t="str">
            <v xml:space="preserve">LOW RISK </v>
          </cell>
          <cell r="Q2" t="str">
            <v>HIGH CARE</v>
          </cell>
          <cell r="R2" t="str">
            <v>RESÍDUO</v>
          </cell>
          <cell r="S2" t="str">
            <v>ETIQUETA</v>
          </cell>
          <cell r="T2" t="str">
            <v>EXPEDIÇÃO</v>
          </cell>
          <cell r="U2" t="str">
            <v>ALMOXARIFADO</v>
          </cell>
          <cell r="V2" t="str">
            <v>LAVANDERIA</v>
          </cell>
          <cell r="W2" t="str">
            <v>MANUTENÇÃO</v>
          </cell>
          <cell r="X2" t="str">
            <v>ETE / ETA</v>
          </cell>
          <cell r="Y2" t="str">
            <v>ADMINISTRATIVOS</v>
          </cell>
        </row>
        <row r="92">
          <cell r="N92">
            <v>51</v>
          </cell>
          <cell r="O92">
            <v>24</v>
          </cell>
          <cell r="P92">
            <v>29</v>
          </cell>
          <cell r="Q92">
            <v>33</v>
          </cell>
          <cell r="R92">
            <v>46</v>
          </cell>
          <cell r="S92">
            <v>38</v>
          </cell>
          <cell r="T92">
            <v>34</v>
          </cell>
          <cell r="U92">
            <v>35</v>
          </cell>
          <cell r="V92">
            <v>33</v>
          </cell>
          <cell r="W92">
            <v>55</v>
          </cell>
          <cell r="X92">
            <v>34</v>
          </cell>
          <cell r="Y92">
            <v>25</v>
          </cell>
        </row>
        <row r="93">
          <cell r="N93">
            <v>16</v>
          </cell>
          <cell r="O93">
            <v>3</v>
          </cell>
          <cell r="P93">
            <v>3</v>
          </cell>
          <cell r="Q93">
            <v>11</v>
          </cell>
          <cell r="R93">
            <v>2</v>
          </cell>
          <cell r="S93">
            <v>6</v>
          </cell>
          <cell r="T93">
            <v>1</v>
          </cell>
          <cell r="U93">
            <v>7</v>
          </cell>
          <cell r="V93">
            <v>2</v>
          </cell>
          <cell r="W93">
            <v>5</v>
          </cell>
          <cell r="X93">
            <v>5</v>
          </cell>
          <cell r="Y93">
            <v>3</v>
          </cell>
        </row>
      </sheetData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 OS"/>
      <sheetName val="OS MODELOS"/>
      <sheetName val="MANUTENÇÃO"/>
      <sheetName val="ETA.ETE"/>
      <sheetName val="O.S"/>
      <sheetName val="HC-H"/>
      <sheetName val="HC-M"/>
      <sheetName val="SEL-H"/>
      <sheetName val="SEL-M"/>
      <sheetName val="ETIQUETA"/>
      <sheetName val="LOW RISK"/>
      <sheetName val="LAVANDERIA"/>
      <sheetName val="RESÍDUOS RECEBIMENTO"/>
      <sheetName val="ALMOXARIFADO"/>
      <sheetName val="ETIQUETA GESTANTE"/>
      <sheetName val="EXPEDIÇÃO"/>
      <sheetName val="SEG TRAB BSB"/>
      <sheetName val="Controle de Documentos"/>
      <sheetName val="CETESB"/>
      <sheetName val="TREINAMENTOS REALIZADOS"/>
      <sheetName val="CERTIFICADOS TREINAMENTOS simpl"/>
      <sheetName val="LISTA PRESENÇA TREINAMENTOS"/>
      <sheetName val="MATRIZ DE TREINAMENTOS OBRIGATO"/>
      <sheetName val="CAPA SSO"/>
      <sheetName val="PARTES INTERESSADAS SSO"/>
      <sheetName val="ESCOPO DO SISTEMA DE GESTÃO"/>
      <sheetName val="POLÍTICA DE SSO"/>
      <sheetName val="INFORMAÇÕES GERAIS (2)"/>
      <sheetName val="PLANO DE AÇÃO 45001"/>
      <sheetName val="OBJ SSO"/>
      <sheetName val="INDICADOR 45001"/>
      <sheetName val="PROCESSOS (2)"/>
      <sheetName val="MAPEAMENTO DE PROCESSO"/>
      <sheetName val="OPR JANEIRO"/>
      <sheetName val="OPR FEVEREIRO"/>
      <sheetName val="OPR MARÇO"/>
      <sheetName val="OPR ABRIL"/>
      <sheetName val="PERSPECTIVA DE CICLO DE VIDA"/>
      <sheetName val="LAIA"/>
      <sheetName val="Capa"/>
      <sheetName val="Partes Interessadas"/>
      <sheetName val="Escopo"/>
      <sheetName val="Política"/>
      <sheetName val="Informações Gerais"/>
      <sheetName val="Objetivos do Meio Ambiente"/>
      <sheetName val="Processos"/>
      <sheetName val="Plano de Ação"/>
      <sheetName val="Indicador"/>
      <sheetName val="Nao Conformidade"/>
      <sheetName val="Mudanças"/>
      <sheetName val="Mapa Processo"/>
      <sheetName val="Informação Documentada"/>
      <sheetName val="Dash Geral"/>
      <sheetName val="OPR"/>
      <sheetName val="Planilha de GHEs_Cargos_Funções"/>
      <sheetName val="GHE - SETOR"/>
      <sheetName val="DADOS FUNC OS"/>
      <sheetName val="GESTÃO SMA"/>
      <sheetName val="NOTA FISCAL"/>
      <sheetName val="GESTÃO BLOQUEIO ENERGIAS PER"/>
      <sheetName val="TREINAMENTOS"/>
      <sheetName val="GESTÃO CIPA 2024.2025"/>
      <sheetName val="GESTÃO CIPA'S"/>
      <sheetName val="PGR"/>
      <sheetName val="INST DE SEGURANÇA EM MAQ NR12"/>
      <sheetName val="RELAÇÃO DE MÁQUINAS - DADOS ISM"/>
      <sheetName val="RELATÓRIO COLETA DADOS NR12"/>
      <sheetName val="STATUS PLANO DE AÇÕES NR12"/>
      <sheetName val="PLANO DE AÇÕES DETALHADO NR12"/>
      <sheetName val="GESTÃO NR12"/>
      <sheetName val="ESTATISTICA DE ACIDENTES"/>
      <sheetName val="GESTÃO BRIGADA DE EMERGENCIA"/>
      <sheetName val="PL. AÇÃO NR-10_2019"/>
      <sheetName val="GESTÃO IAS"/>
      <sheetName val="PLANO DE AÇÕES SEG TRAB"/>
      <sheetName val="INDICADORES"/>
      <sheetName val="GESTÃO EPIS"/>
      <sheetName val="LOCAIS BEBEDOUROS"/>
      <sheetName val="PLANO DE AÇÕES MEIO AMB"/>
      <sheetName val="GESTÃO DE RESÍDUOS"/>
      <sheetName val="ASPECTOS E IMPACTOS AMB"/>
      <sheetName val="CAIXAS DE CONTENÇÃO"/>
      <sheetName val="controle de FISPQ's"/>
      <sheetName val="AUDITORIA MA"/>
      <sheetName val="AUDITORIA ST"/>
      <sheetName val="FICHA EPI APRENDIZES"/>
      <sheetName val="QUADRO CIPA 2024.2025"/>
      <sheetName val="PROC ELEITORAL CIPA 2024.2025"/>
      <sheetName val="REUNIÕES CIPA 2024.2025"/>
      <sheetName val="LISTA PRESENÇA DDS"/>
      <sheetName val="GHE X SETOR X FUNÇÃOX DESC CARG"/>
      <sheetName val="EPI X FUNÇÃO (2)"/>
      <sheetName val="CALCULOS MEDIÇÕES RUIDO"/>
      <sheetName val="Cálculo - NR15"/>
      <sheetName val="Cálculo - NHO - 01"/>
      <sheetName val="EPI X FUNÇÃO"/>
      <sheetName val="GRÁFICO FISCAL"/>
      <sheetName val="PPP"/>
      <sheetName val="INSTRUÇÕES NR17 P SETOR"/>
      <sheetName val="graficos geração de resíduos"/>
      <sheetName val="CÓDIGO IBAMA RESIDUOS"/>
      <sheetName val="SAÍDAS"/>
      <sheetName val="MODELO INVENTARIO DE RESÍDUOS"/>
      <sheetName val="CONTROLE DE CADRI"/>
      <sheetName val="CADRI - LIMITE ATUAL"/>
      <sheetName val="RESÍDUOS X SETOR"/>
      <sheetName val="COMUNICAÇÃO custos EPI"/>
      <sheetName val="CENTRAL PLANOS DE AÇÕES"/>
      <sheetName val="INFORMAÇÕES - RH - HHT 2017"/>
      <sheetName val="INFORMAÇÕES - RH - HHT 2018"/>
      <sheetName val="INFORMAÇÕES - RH - HHT 2019"/>
      <sheetName val="CALCULO Nº DE BRIGADISTAS"/>
      <sheetName val="EQ EMERG MANGUEIRAS"/>
      <sheetName val="EQUIPAMENTOS DE EMERGÊNCIA"/>
      <sheetName val="RELATÓRIOS SIMULADOS DE EMERGÊN"/>
      <sheetName val="EQ EMERG EXTINTORES"/>
      <sheetName val="SIMULADOS DE EMERGENCIA 2020"/>
      <sheetName val="MODELO RELATÓRIO SIMULADO EMERG"/>
      <sheetName val="RE 01-2019"/>
      <sheetName val="Relatorio de Emergencia"/>
      <sheetName val="REGISTROS SIMULADOS REALIZADOS"/>
      <sheetName val="REGISTROS DE EMERGÊNCIA"/>
      <sheetName val="SIMULADOS DE EMERGENCIA"/>
      <sheetName val="LISTA DE PARTICIPAÇÃO BRIGADA"/>
      <sheetName val="GRÁFICOS AÇÕES NR12"/>
      <sheetName val="PLANO NR12 MAQ 61,62.63"/>
      <sheetName val="PLANO NR12 MAQ 64"/>
      <sheetName val="GRÁFICOS AUDITORIA SEG TRAB"/>
      <sheetName val="GRÁFICOS AUDITORIA MA"/>
      <sheetName val="AUDITORIAS GESTÃO"/>
      <sheetName val="AUDITORIA ST 5ºBIM"/>
      <sheetName val="GRÁFICOS ACIDENTES"/>
      <sheetName val="ACIDENTES - 2020"/>
      <sheetName val="REGISTROS DE ACIDENTES"/>
      <sheetName val="TAREFAS EM ANDAMENTO"/>
      <sheetName val="CONTROLE PARTICIPAÇÃO CIPA"/>
      <sheetName val="LISTA DE PARTICIPAÇÃO EM CIPA"/>
      <sheetName val="CIPA CERTIFICADOS TREINAMENTO"/>
      <sheetName val="GRÁFICOS IAS"/>
      <sheetName val="Planilha1"/>
      <sheetName val="REGISTROS IAS"/>
      <sheetName val="COMUNICAÇÃO IAS"/>
      <sheetName val="GRÁFICOS (2)"/>
      <sheetName val="RAT MODELO"/>
      <sheetName val="RAT - ANÁLISE DE CAUSA"/>
      <sheetName val="Requisitos Legais"/>
      <sheetName val="Requisitos Legais 2"/>
      <sheetName val="CX CONT 01"/>
      <sheetName val="CX CONT 02"/>
      <sheetName val="CX CONT 03"/>
      <sheetName val="CX CONT 04"/>
      <sheetName val="RELATÓRIO INSPEÇÃO CX CONTENÇÃO"/>
      <sheetName val="GESTÃO PLANOS DE AÇÕES"/>
      <sheetName val="Planilha2"/>
      <sheetName val="PPRA CRONOGRAMA DE AÇÕES"/>
      <sheetName val="CONTROLE ENTREGA DE EPI"/>
      <sheetName val="LISTA EPI'S E CA"/>
      <sheetName val="LISTA EPI SOC E TOTV"/>
      <sheetName val="GRAFICOS CONSUMO EPI'S"/>
      <sheetName val="LISTAGEM CONSUMO EPI'S"/>
      <sheetName val="SOLICITAÇÕES DE COMPRA"/>
      <sheetName val="TAXA F E GRAVIDADE 2020"/>
      <sheetName val="RELATÓRIO COLETA DADOS BLOQUEIO"/>
      <sheetName val="RELAÇÃO DE MÁQUINAS-DADOS MEP"/>
      <sheetName val="MEP-MAPEAMENTO ENERGIA PERIGOSA"/>
      <sheetName val="CONTROLE ENTREGA ITENS DE BLOQU"/>
      <sheetName val="FORMULARIO DE ENTRGA BLOQUEIOS"/>
      <sheetName val="TIPOS DE ENERGIAS E BLOQUEIOS"/>
      <sheetName val="PLANO DE AÇÕES ERGONOMIA"/>
      <sheetName val="GRÁFICO AÇÕES ERGONOMIA"/>
      <sheetName val="AÇÃO 1 ERGONOMIA"/>
      <sheetName val="ERGONOMIA"/>
      <sheetName val="ACESSORIOS ERGONOMICOS"/>
      <sheetName val="MAPA ERGONÔMICO"/>
      <sheetName val="FICHA EPI NOVOS FUNCIONÁRIOS"/>
      <sheetName val="DADOS PRINCIPAIS INTEGRAÇÃO"/>
      <sheetName val="LISTA PRESENÇA INTEGRAÇÃ SEG"/>
      <sheetName val="relatório implantação ações"/>
      <sheetName val="Relatorio de Ocorrência"/>
      <sheetName val="LISTA FUNCIONÁRIOS"/>
      <sheetName val="PGR SETORES"/>
      <sheetName val="GHE resumo riscos"/>
      <sheetName val="GHE resumo EPI"/>
      <sheetName val="GHE"/>
      <sheetName val="PERIGOS E RISCOS RUD"/>
      <sheetName val="TIPOS DE RISCOS"/>
      <sheetName val="CONTROLE CINTOS DE SEGURANÇ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ividades Chaves"/>
      <sheetName val="PLANO DE AÇÃO"/>
    </sheetNames>
    <sheetDataSet>
      <sheetData sheetId="0" refreshError="1"/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abrielly Midian" id="{B1FAF3CE-79E1-4EE2-9D38-88B214F847EA}" userId="S::Gabrielly.Midian@blueskies.com::e0107682-30ce-4173-a598-91f6d18d9199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 bwMode="auto"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a:spPr>
      <a:bodyPr wrap="square" anchor="ctr">
        <a:noAutofit/>
      </a:bodyPr>
      <a:lstStyle>
        <a:defPPr algn="l" eaLnBrk="1" hangingPunct="1">
          <a:spcBef>
            <a:spcPct val="50000"/>
          </a:spcBef>
          <a:defRPr sz="1400" b="1">
            <a:solidFill>
              <a:srgbClr val="000000"/>
            </a:solidFill>
            <a:latin typeface="Times New Roman" panose="02020603050405020304" pitchFamily="18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4" dT="2026-02-25T09:21:19.76" personId="{B1FAF3CE-79E1-4EE2-9D38-88B214F847EA}" id="{55A4CC83-786C-415B-B933-F38F46C6A6BF}">
    <text xml:space="preserve">NECESSÁRIO IDENTIFICAÇÃO DAS CAÇAMBAS DE DESCARTE. </text>
  </threadedComment>
  <threadedComment ref="R4" dT="2026-04-27T16:45:32.60" personId="{B1FAF3CE-79E1-4EE2-9D38-88B214F847EA}" id="{4D3B5E61-87C2-4D80-99CD-B6673D373122}" parentId="{55A4CC83-786C-415B-B933-F38F46C6A6BF}">
    <text xml:space="preserve">EM PROCESSO DE IDENTIFICAÇÃO </text>
  </threadedComment>
  <threadedComment ref="R4" dT="2026-06-12T16:38:32.34" personId="{B1FAF3CE-79E1-4EE2-9D38-88B214F847EA}" id="{8159FEF3-38C2-4360-9436-1FB09933C5E3}" parentId="{55A4CC83-786C-415B-B933-F38F46C6A6BF}">
    <text>IDENTIFICADO</text>
  </threadedComment>
  <threadedComment ref="R5" dT="2026-04-27T15:26:20.35" personId="{B1FAF3CE-79E1-4EE2-9D38-88B214F847EA}" id="{E28172CE-1A0E-40A2-900C-9404F2013A7C}">
    <text>SEGREGAR PARA MATERIAIS PERIGOSOS</text>
  </threadedComment>
  <threadedComment ref="R5" dT="2026-06-12T16:40:32.39" personId="{B1FAF3CE-79E1-4EE2-9D38-88B214F847EA}" id="{08BDD983-1E9D-4E0F-B7BC-4A88E232B645}" parentId="{E28172CE-1A0E-40A2-900C-9404F2013A7C}">
    <text>SEGREGADO</text>
  </threadedComment>
  <threadedComment ref="L15" dT="2026-05-06T19:32:18.52" personId="{B1FAF3CE-79E1-4EE2-9D38-88B214F847EA}" id="{55A9FA2B-2141-4919-ACC7-64741DCE5068}">
    <text xml:space="preserve">VAZAMENTO MANGUEIRA HC </text>
  </threadedComment>
  <threadedComment ref="T16" dT="2026-02-25T09:57:49.76" personId="{B1FAF3CE-79E1-4EE2-9D38-88B214F847EA}" id="{5B800F47-D669-4BD5-B9E1-AE3495694F12}">
    <text xml:space="preserve">Computadores que ficam ligados a noite/pós expediente, e luz da sala de reunião limão que fica ligada o tempo todo. </text>
  </threadedComment>
  <threadedComment ref="R19" dT="2026-05-06T19:36:01.31" personId="{B1FAF3CE-79E1-4EE2-9D38-88B214F847EA}" id="{3FF752A8-9C8B-4A04-B0BA-9C666D3BE78C}">
    <text xml:space="preserve">Será aplicado treinado quanto a conscientização ambiental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3" dT="2026-02-10T10:08:31.73" personId="{B1FAF3CE-79E1-4EE2-9D38-88B214F847EA}" id="{5F1A56FA-E282-4DA1-BCF3-0C9FFA811EF2}">
    <text xml:space="preserve">Escadas inadequadas para NR10 </text>
  </threadedComment>
  <threadedComment ref="P4" dT="2026-02-09T12:53:06.60" personId="{B1FAF3CE-79E1-4EE2-9D38-88B214F847EA}" id="{FE2827C9-D521-4905-86BD-65330AF57997}">
    <text>Falta de encaixe, e dificuldade para trancar</text>
  </threadedComment>
  <threadedComment ref="V4" dT="2026-04-17T12:04:11.08" personId="{B1FAF3CE-79E1-4EE2-9D38-88B214F847EA}" id="{4A397C88-CFE9-4A5D-A780-480418599DC2}">
    <text xml:space="preserve">NECESSÁRIO TRANCAR TODAS ESCADAS MARINHEIROS </text>
  </threadedComment>
  <threadedComment ref="V4" dT="2026-04-22T09:47:40.12" personId="{B1FAF3CE-79E1-4EE2-9D38-88B214F847EA}" id="{28F3890C-9557-4672-876D-56210FBECB77}" parentId="{4A397C88-CFE9-4A5D-A780-480418599DC2}">
    <text>ADEQUAR CONFORME ATUALIZAÇÃO DA NORMA</text>
  </threadedComment>
  <threadedComment ref="S5" dT="2026-02-10T09:10:21.27" personId="{B1FAF3CE-79E1-4EE2-9D38-88B214F847EA}" id="{D8597373-D04C-4AFA-B8DE-7974B24F566D}">
    <text xml:space="preserve">Area danificada </text>
  </threadedComment>
  <threadedComment ref="O6" dT="2026-02-09T12:32:35.66" personId="{B1FAF3CE-79E1-4EE2-9D38-88B214F847EA}" id="{5C4ECE46-9D63-46D7-B071-2BAF63395714}">
    <text xml:space="preserve">Área nova tem menos luminárias que as antigas, necessário melhoria. </text>
  </threadedComment>
  <threadedComment ref="N8" dT="2026-02-09T09:45:13.32" personId="{B1FAF3CE-79E1-4EE2-9D38-88B214F847EA}" id="{D4878A9D-461C-4465-961C-8EC5AE03BE19}">
    <text xml:space="preserve">Sistema fraco, não atuante como antes.
</text>
  </threadedComment>
  <threadedComment ref="O8" dT="2026-06-12T16:58:27.75" personId="{B1FAF3CE-79E1-4EE2-9D38-88B214F847EA}" id="{395FB8DC-EE1C-4D54-A965-12664C32D4FD}">
    <text xml:space="preserve">TRAY WASH E SALA DE QUÍMICOS HC </text>
  </threadedComment>
  <threadedComment ref="L11" dT="2026-02-07T15:18:36.41" personId="{B1FAF3CE-79E1-4EE2-9D38-88B214F847EA}" id="{270F4FCA-91F2-461E-B79B-BE1189F6E74A}">
    <text xml:space="preserve">Pátio de movimentação de empilhadeiras, com muitos buracos e saliências. </text>
  </threadedComment>
  <threadedComment ref="O11" dT="2026-06-12T16:59:20.23" personId="{B1FAF3CE-79E1-4EE2-9D38-88B214F847EA}" id="{6E3036AF-6B2C-4949-AA8E-1BF3A8416B96}">
    <text>RALOS DESNIVELADOS</text>
  </threadedComment>
  <threadedComment ref="V13" dT="2026-02-10T10:50:50.99" personId="{B1FAF3CE-79E1-4EE2-9D38-88B214F847EA}" id="{68C93ABC-4C45-4A1A-97E7-BBFA1B2CF2D6}">
    <text xml:space="preserve">ESCADA ETE SEM CORRIMÃO
</text>
  </threadedComment>
  <threadedComment ref="L14" dT="2026-02-07T15:19:18.38" personId="{B1FAF3CE-79E1-4EE2-9D38-88B214F847EA}" id="{95185C01-A575-4714-94E6-4FE8712EE17C}">
    <text xml:space="preserve">Guarda corpo danificado </text>
  </threadedComment>
  <threadedComment ref="T29" dT="2026-03-27T18:59:10.84" personId="{B1FAF3CE-79E1-4EE2-9D38-88B214F847EA}" id="{FB3EF18C-240A-43DC-A7C9-A1593599E5EF}">
    <text xml:space="preserve">NECESSÁRIO ETIQUETA LOTO </text>
  </threadedComment>
  <threadedComment ref="T29" dT="2026-04-22T10:44:17.99" personId="{B1FAF3CE-79E1-4EE2-9D38-88B214F847EA}" id="{BD8BF974-13B0-47B7-A8E4-47A02BA10302}" parentId="{FB3EF18C-240A-43DC-A7C9-A1593599E5EF}">
    <text>feito</text>
  </threadedComment>
  <threadedComment ref="L31" dT="2026-02-07T15:21:04.80" personId="{B1FAF3CE-79E1-4EE2-9D38-88B214F847EA}" id="{FCBE8FA5-F94E-4391-A772-D65588C70EEC}">
    <text xml:space="preserve">Verificar com manutenção, se todos os painéis possuem. </text>
  </threadedComment>
  <threadedComment ref="N31" dT="2026-02-09T09:49:09.85" personId="{B1FAF3CE-79E1-4EE2-9D38-88B214F847EA}" id="{B2815B61-D981-413F-A233-15F6C935E55E}">
    <text>Verificar com manuteção</text>
  </threadedComment>
  <threadedComment ref="P31" dT="2026-02-09T15:03:32.04" personId="{B1FAF3CE-79E1-4EE2-9D38-88B214F847EA}" id="{4CD7CA5E-28A5-41E5-AD18-B15FF16E8CDB}">
    <text>Verificar manut</text>
  </threadedComment>
  <threadedComment ref="Q31" dT="2026-02-09T15:16:48.04" personId="{B1FAF3CE-79E1-4EE2-9D38-88B214F847EA}" id="{9AA881B2-4716-47F2-9FFC-4424789A59D1}">
    <text xml:space="preserve">Verificar manutenção </text>
  </threadedComment>
  <threadedComment ref="L38" dT="2026-03-27T18:11:34.57" personId="{B1FAF3CE-79E1-4EE2-9D38-88B214F847EA}" id="{C74D3101-30B0-464D-96D5-B4FA609ACBD2}">
    <text>Empilhadeira Blue Skies</text>
  </threadedComment>
  <threadedComment ref="L38" dT="2026-03-27T18:18:22.67" personId="{B1FAF3CE-79E1-4EE2-9D38-88B214F847EA}" id="{E1370EEE-7423-43A2-BC64-CD8EFBE8FFF2}" parentId="{C74D3101-30B0-464D-96D5-B4FA609ACBD2}">
    <text xml:space="preserve">TRANSPALETEIRA
</text>
  </threadedComment>
  <threadedComment ref="L43" dT="2026-06-12T18:27:18.28" personId="{B1FAF3CE-79E1-4EE2-9D38-88B214F847EA}" id="{F97A6A49-0FE9-4DF1-9895-D2C653169E1E}">
    <text>GIROFLEX</text>
  </threadedComment>
  <threadedComment ref="L44" dT="2026-02-07T15:24:56.75" personId="{B1FAF3CE-79E1-4EE2-9D38-88B214F847EA}" id="{63F07F3B-A3F3-4C5C-99E6-FA7265EC800D}">
    <text>Existe uma bateria quebrada</text>
  </threadedComment>
  <threadedComment ref="L44" dT="2026-03-27T18:13:16.65" personId="{B1FAF3CE-79E1-4EE2-9D38-88B214F847EA}" id="{0F09F248-4428-4D2B-895E-06EB56BC924F}" parentId="{63F07F3B-A3F3-4C5C-99E6-FA7265EC800D}">
    <text xml:space="preserve">EMPILHADEIRA BLUE </text>
  </threadedComment>
  <threadedComment ref="L48" dT="2026-02-07T15:25:58.74" personId="{B1FAF3CE-79E1-4EE2-9D38-88B214F847EA}" id="{E69E79A0-B30E-4AE9-8D0C-4B3020A16A80}">
    <text>GIROFLEX- EMPILHADEIRA BLUE SKIES QUEBRADA</text>
  </threadedComment>
  <threadedComment ref="L49" dT="2026-06-12T18:30:00.00" personId="{B1FAF3CE-79E1-4EE2-9D38-88B214F847EA}" id="{F1EC4E16-8FF0-4A88-96C6-7ED8C8CF6D15}">
    <text>FREIO DE MÃO COM PROBLEMA</text>
  </threadedComment>
  <threadedComment ref="S49" dT="2026-02-10T09:15:13.02" personId="{B1FAF3CE-79E1-4EE2-9D38-88B214F847EA}" id="{68545A45-E170-4AE5-A413-7A2D64FABFA8}">
    <text>ANTE ESMAGAMENTO OK</text>
  </threadedComment>
  <threadedComment ref="L51" dT="2026-06-12T18:30:41.86" personId="{B1FAF3CE-79E1-4EE2-9D38-88B214F847EA}" id="{92CC4351-7479-4899-920B-A97EA559CDE7}">
    <text xml:space="preserve">DANIFICADO VOLANTE </text>
  </threadedComment>
  <threadedComment ref="S51" dT="2026-02-10T09:15:33.87" personId="{B1FAF3CE-79E1-4EE2-9D38-88B214F847EA}" id="{34558DAC-D3C7-4F55-B7D6-12D5669753D2}">
    <text>Timão danificado</text>
  </threadedComment>
  <threadedComment ref="S51" dT="2026-04-22T10:43:28.28" personId="{B1FAF3CE-79E1-4EE2-9D38-88B214F847EA}" id="{6991B1A0-712D-4FB6-BA63-211AEBB7904E}" parentId="{34558DAC-D3C7-4F55-B7D6-12D5669753D2}">
    <text>arrumado</text>
  </threadedComment>
  <threadedComment ref="L55" dT="2026-03-27T18:19:04.94" personId="{B1FAF3CE-79E1-4EE2-9D38-88B214F847EA}" id="{FCC8919C-1B8C-4C93-B40C-9CA54B2CD59D}">
    <text xml:space="preserve">BOTÃO DE EMERGENCIA ÁREA BOA DA ESTEIRA, QUEBRADO </text>
  </threadedComment>
  <threadedComment ref="L55" dT="2026-04-27T15:10:21.94" personId="{B1FAF3CE-79E1-4EE2-9D38-88B214F847EA}" id="{583EAE20-A109-4113-A54D-9E8A86A8D89E}" parentId="{FCC8919C-1B8C-4C93-B40C-9CA54B2CD59D}">
    <text xml:space="preserve">CORRIGIDO 
</text>
  </threadedComment>
  <threadedComment ref="P55" dT="2026-02-09T15:08:25.98" personId="{B1FAF3CE-79E1-4EE2-9D38-88B214F847EA}" id="{28D13A4A-891A-425E-A2C0-FBF1E0326DEC}">
    <text xml:space="preserve">Botão de emergência danificado </text>
  </threadedComment>
  <threadedComment ref="P55" dT="2026-04-22T11:52:51.40" personId="{B1FAF3CE-79E1-4EE2-9D38-88B214F847EA}" id="{86962352-29B9-4E03-848D-A19AE744660E}" parentId="{28D13A4A-891A-425E-A2C0-FBF1E0326DEC}">
    <text xml:space="preserve">Painel antigo, com ferrugem </text>
  </threadedComment>
  <threadedComment ref="P55" dT="2026-06-12T18:42:19.30" personId="{B1FAF3CE-79E1-4EE2-9D38-88B214F847EA}" id="{6D6E5371-C16F-439B-9ECB-3A41B0BD9FB5}" parentId="{28D13A4A-891A-425E-A2C0-FBF1E0326DEC}">
    <text xml:space="preserve">ARRUMADO 
</text>
  </threadedComment>
  <threadedComment ref="L59" dT="2026-02-07T15:28:59.65" personId="{B1FAF3CE-79E1-4EE2-9D38-88B214F847EA}" id="{828AF8E4-DED4-4AA4-A4DE-61C24BDE0755}">
    <text>Mancais expostos</text>
  </threadedComment>
  <threadedComment ref="L59" dT="2026-03-27T18:17:17.79" personId="{B1FAF3CE-79E1-4EE2-9D38-88B214F847EA}" id="{53324FEC-29BE-4342-9C2F-662BC77AF028}" parentId="{828AF8E4-DED4-4AA4-A4DE-61C24BDE0755}">
    <text>MOTOR SOLTO DURANTE FUNCIONAMENTO</text>
  </threadedComment>
  <threadedComment ref="L59" dT="2026-04-27T15:10:32.27" personId="{B1FAF3CE-79E1-4EE2-9D38-88B214F847EA}" id="{7CAA324C-F56C-4B61-BCF0-D3622CC61F5B}" parentId="{828AF8E4-DED4-4AA4-A4DE-61C24BDE0755}">
    <text xml:space="preserve">CORRIGIDO </text>
  </threadedComment>
  <threadedComment ref="L59" dT="2026-06-12T18:48:23.78" personId="{B1FAF3CE-79E1-4EE2-9D38-88B214F847EA}" id="{8B81F768-6B4C-4E86-AB41-BA1C476B6401}" parentId="{828AF8E4-DED4-4AA4-A4DE-61C24BDE0755}">
    <text xml:space="preserve">MANCAL EXPOSTO </text>
  </threadedComment>
  <threadedComment ref="N59" dT="2026-03-27T18:41:31.80" personId="{B1FAF3CE-79E1-4EE2-9D38-88B214F847EA}" id="{79B7E5DC-AF7D-470A-91C9-D5C7C194C65D}">
    <text>MANCAL EXPOSTO</text>
  </threadedComment>
  <threadedComment ref="O59" dT="2026-03-27T18:44:52.03" personId="{B1FAF3CE-79E1-4EE2-9D38-88B214F847EA}" id="{52B86770-9FE4-4616-9741-8CC694D00971}">
    <text>MANCAL EXPOSTO</text>
  </threadedComment>
  <threadedComment ref="O59" dT="2026-04-17T11:58:27.20" personId="{B1FAF3CE-79E1-4EE2-9D38-88B214F847EA}" id="{B4B1FDC9-FC6B-41E3-A993-D7A4DD94BBEF}" parentId="{52B86770-9FE4-4616-9741-8CC694D00971}">
    <text xml:space="preserve">PROTEÇÕES DE PARTES AR COMPRIMIDO
</text>
  </threadedComment>
  <threadedComment ref="O59" dT="2026-04-22T12:21:12.78" personId="{B1FAF3CE-79E1-4EE2-9D38-88B214F847EA}" id="{561FC0AA-1DFA-4923-B22F-B991A8E019DA}" parentId="{52B86770-9FE4-4616-9741-8CC694D00971}">
    <text xml:space="preserve">MANCAL TRAY WASH 
</text>
  </threadedComment>
  <threadedComment ref="Q59" dT="2026-02-09T16:40:37.86" personId="{B1FAF3CE-79E1-4EE2-9D38-88B214F847EA}" id="{AED90E97-BE7B-4424-97C2-14DD2D5A01F7}">
    <text>Roletes expostos nas linhas</text>
  </threadedComment>
  <threadedComment ref="Q59" dT="2026-03-27T18:50:23.04" personId="{B1FAF3CE-79E1-4EE2-9D38-88B214F847EA}" id="{9AEF3A09-2591-44E0-8C51-3B47E8B9BC68}" parentId="{AED90E97-BE7B-4424-97C2-14DD2D5A01F7}">
    <text xml:space="preserve">NECESSÁRIO ADEQUAÇÃO NR 12 SELADORA </text>
  </threadedComment>
  <threadedComment ref="Q59" dT="2026-03-27T18:50:35.59" personId="{B1FAF3CE-79E1-4EE2-9D38-88B214F847EA}" id="{2A782F3C-57FD-496E-9BBA-76702CB6003A}" parentId="{AED90E97-BE7B-4424-97C2-14DD2D5A01F7}">
    <text xml:space="preserve">ADEQUAÇÃO LINHAS </text>
  </threadedComment>
  <threadedComment ref="Q59" dT="2026-04-22T10:41:41.20" personId="{B1FAF3CE-79E1-4EE2-9D38-88B214F847EA}" id="{91E45574-2F98-4CEA-A727-EE8F000688C4}" parentId="{AED90E97-BE7B-4424-97C2-14DD2D5A01F7}">
    <text xml:space="preserve">Adequação - seladora nr 12
</text>
  </threadedComment>
  <threadedComment ref="U59" dT="2026-04-22T10:48:06.56" personId="{B1FAF3CE-79E1-4EE2-9D38-88B214F847EA}" id="{1EDEEA78-045A-4D4A-BA8C-55E692D77F10}">
    <text xml:space="preserve">ESMERIL SEM PROTEÇÃO </text>
  </threadedComment>
  <threadedComment ref="O60" dT="2026-02-09T12:47:58.92" personId="{B1FAF3CE-79E1-4EE2-9D38-88B214F847EA}" id="{73C3AEB9-8173-4266-AB22-BDF19498EA92}">
    <text>Botões em inglês</text>
  </threadedComment>
  <threadedComment ref="O60" dT="2026-04-22T10:02:37.85" personId="{B1FAF3CE-79E1-4EE2-9D38-88B214F847EA}" id="{5B24FA8B-77B0-41CC-A48C-2DDFD962B892}" parentId="{73C3AEB9-8173-4266-AB22-BDF19498EA92}">
    <text xml:space="preserve">BOTÃO DE EMERGENCIA SEM IDENTIFICAÇÃO </text>
  </threadedComment>
  <threadedComment ref="O60" dT="2026-04-22T10:02:44.76" personId="{B1FAF3CE-79E1-4EE2-9D38-88B214F847EA}" id="{CE40BABE-BC78-4621-A361-E6E879B96CD0}" parentId="{73C3AEB9-8173-4266-AB22-BDF19498EA92}">
    <text>ETIQUETAS EM INGLÊS</text>
  </threadedComment>
  <threadedComment ref="O60" dT="2026-06-12T18:48:46.33" personId="{B1FAF3CE-79E1-4EE2-9D38-88B214F847EA}" id="{903A50E9-BEF5-49EF-B967-288E6D44518A}" parentId="{73C3AEB9-8173-4266-AB22-BDF19498EA92}">
    <text>CORRIGIDO</text>
  </threadedComment>
  <threadedComment ref="O60" dT="2026-06-12T18:55:02.04" personId="{B1FAF3CE-79E1-4EE2-9D38-88B214F847EA}" id="{7FC7DDFA-DA01-42C2-ADF3-88E21B220DC0}" parentId="{73C3AEB9-8173-4266-AB22-BDF19498EA92}">
    <text xml:space="preserve">BOTÃO DE EMERGENCIA PND E TRAY WASH SEM IDENTIFICAÇÃO 
</text>
  </threadedComment>
  <threadedComment ref="O63" dT="2026-02-09T12:49:03.95" personId="{B1FAF3CE-79E1-4EE2-9D38-88B214F847EA}" id="{CF805059-4152-4A1D-915F-8D74B9CC10B0}">
    <text xml:space="preserve">Carrinhos p movimentação de resíduos e cubas de produto químico inadequados ergonomicamente. Sem apoio e ou escoamento de agua adequado, necessitando esforço físico exagerado. </text>
  </threadedComment>
  <threadedComment ref="L78" dT="2026-06-12T18:49:44.40" personId="{B1FAF3CE-79E1-4EE2-9D38-88B214F847EA}" id="{FBC0C970-D490-423D-93B0-030010899AA2}">
    <text xml:space="preserve">PINTURA NO HIDRANTE 1 </text>
  </threadedComment>
  <threadedComment ref="L80" dT="2026-04-22T12:17:16.73" personId="{B1FAF3CE-79E1-4EE2-9D38-88B214F847EA}" id="{8752C45F-0888-4CFD-9CCA-6C41516C74C8}">
    <text>EXTINTOR SEM LACRE</text>
  </threadedComment>
  <threadedComment ref="L80" dT="2026-04-27T15:10:41.73" personId="{B1FAF3CE-79E1-4EE2-9D38-88B214F847EA}" id="{79D90DE8-CC92-42B2-8EC1-54D20B45CC66}" parentId="{8752C45F-0888-4CFD-9CCA-6C41516C74C8}">
    <text xml:space="preserve">CORRIGIDO 
</text>
  </threadedComment>
  <threadedComment ref="Q84" dT="2026-02-09T16:55:01.62" personId="{B1FAF3CE-79E1-4EE2-9D38-88B214F847EA}" id="{61844B98-0C83-4D54-A782-02B8A6537A16}">
    <text xml:space="preserve">Necessidade de luz de emergência na nova saida etiqueta 
</text>
  </threadedComment>
  <threadedComment ref="Q84" dT="2026-03-27T18:51:04.41" personId="{B1FAF3CE-79E1-4EE2-9D38-88B214F847EA}" id="{408ED316-4FD4-4179-B488-751BB2EE3976}" parentId="{61844B98-0C83-4D54-A782-02B8A6537A16}">
    <text>INSTALOU POREM N FUNCIONA</text>
  </threadedComment>
  <threadedComment ref="Q84" dT="2026-06-12T18:50:46.28" personId="{B1FAF3CE-79E1-4EE2-9D38-88B214F847EA}" id="{1BEB848A-9181-49E8-B57F-D63477C31F80}" parentId="{61844B98-0C83-4D54-A782-02B8A6537A16}">
    <text>CORRIGIDO</text>
  </threadedComment>
  <threadedComment ref="R84" dT="2026-02-09T18:24:59.84" personId="{B1FAF3CE-79E1-4EE2-9D38-88B214F847EA}" id="{96410AAC-AD0F-4DCB-A922-6B174CFD1A39}">
    <text>Luz de emergência na área da expedição</text>
  </threadedComment>
  <threadedComment ref="R84" dT="2026-06-12T18:50:53.74" personId="{B1FAF3CE-79E1-4EE2-9D38-88B214F847EA}" id="{51EE788F-5C5E-498E-B7BE-2FFCCAACE304}" parentId="{96410AAC-AD0F-4DCB-A922-6B174CFD1A39}">
    <text xml:space="preserve">CORRIGIDO
</text>
  </threadedComment>
  <threadedComment ref="U85" dT="2026-04-22T10:48:57.95" personId="{B1FAF3CE-79E1-4EE2-9D38-88B214F847EA}" id="{FB71E022-6D1B-49EF-A228-4BE43A6A246E}">
    <text xml:space="preserve">Falta instalar armário corta fogo </text>
  </threadedComment>
  <threadedComment ref="O88" dT="2026-02-09T12:52:27.09" personId="{B1FAF3CE-79E1-4EE2-9D38-88B214F847EA}" id="{82E75906-AF22-47A0-B0DE-96EFA6D8DF7B}">
    <text xml:space="preserve">Mapas de risco serão atualizados. </text>
  </threadedComment>
  <threadedComment ref="R88" dT="2026-02-10T09:07:35.81" personId="{B1FAF3CE-79E1-4EE2-9D38-88B214F847EA}" id="{52D5AA67-CD03-46F1-B702-ED4BC5EEF12C}">
    <text>Necessita sinalização de rota de fuga</text>
  </threadedComment>
  <threadedComment ref="R88" dT="2026-06-12T18:51:27.81" personId="{B1FAF3CE-79E1-4EE2-9D38-88B214F847EA}" id="{5EA635D8-2240-4BCA-A8BB-DE91E098A63D}" parentId="{52D5AA67-CD03-46F1-B702-ED4BC5EEF12C}">
    <text>CORRIGIDO</text>
  </threadedComment>
  <threadedComment ref="L89" dT="2026-03-27T18:22:02.18" personId="{B1FAF3CE-79E1-4EE2-9D38-88B214F847EA}" id="{008EAEB6-C607-4B8B-9F4A-2F7372F4E1AD}">
    <text xml:space="preserve">BANDEJA DA ESTEIRA SOLTA, NECESSÁRIO AJUSTE </text>
  </threadedComment>
  <threadedComment ref="L89" dT="2026-04-27T15:10:53.09" personId="{B1FAF3CE-79E1-4EE2-9D38-88B214F847EA}" id="{61726113-9A93-43D8-A9C0-5872BEAA95D0}" parentId="{008EAEB6-C607-4B8B-9F4A-2F7372F4E1AD}">
    <text>CORRIGIDO</text>
  </threadedComment>
  <threadedComment ref="S89" dT="2026-03-27T18:57:25.54" personId="{B1FAF3CE-79E1-4EE2-9D38-88B214F847EA}" id="{320CB3A4-2D66-4EF1-B6BB-3AC52D1CBA96}">
    <text>PORTA CORTA FOGO DANIFICADA</text>
  </threadedComment>
  <threadedComment ref="T89" dT="2026-04-22T10:45:03.10" personId="{B1FAF3CE-79E1-4EE2-9D38-88B214F847EA}" id="{EB94E573-9668-47A8-9BD2-789D04C81251}">
    <text xml:space="preserve">Suporte para epi </text>
  </threadedComment>
  <threadedComment ref="T89" dT="2026-04-22T10:46:26.27" personId="{B1FAF3CE-79E1-4EE2-9D38-88B214F847EA}" id="{967CA2B6-44F8-42B3-8E56-353C020FBB10}" parentId="{EB94E573-9668-47A8-9BD2-789D04C81251}">
    <text>Uma dosadora sem identificação</text>
  </threadedComment>
  <threadedComment ref="T89" dT="2026-06-12T18:51:10.79" personId="{B1FAF3CE-79E1-4EE2-9D38-88B214F847EA}" id="{F553D435-432E-48EC-BA85-BB44CA587B66}" parentId="{EB94E573-9668-47A8-9BD2-789D04C81251}">
    <text>CORRIGIDO</text>
  </threadedComment>
  <threadedComment ref="V89" dT="2026-03-27T19:16:02.24" personId="{B1FAF3CE-79E1-4EE2-9D38-88B214F847EA}" id="{8A282432-7130-479C-94EF-FF99DAB7C3E5}">
    <text xml:space="preserve">CORRENTE E CADEADO NO PORTAO 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A6EA-5DE5-49B3-B25A-45428D8AECBA}">
  <sheetPr codeName="Planilha261">
    <tabColor theme="3"/>
    <pageSetUpPr autoPageBreaks="0" fitToPage="1"/>
  </sheetPr>
  <dimension ref="A1:V43"/>
  <sheetViews>
    <sheetView tabSelected="1" zoomScaleNormal="100" workbookViewId="0">
      <selection activeCell="B1" sqref="B1:C1"/>
    </sheetView>
  </sheetViews>
  <sheetFormatPr defaultColWidth="11" defaultRowHeight="12.75" x14ac:dyDescent="0.2"/>
  <cols>
    <col min="1" max="1" width="4.5703125" style="7" customWidth="1"/>
    <col min="2" max="2" width="18" style="2" customWidth="1"/>
    <col min="3" max="3" width="13.7109375" style="2" customWidth="1"/>
    <col min="4" max="4" width="15.7109375" style="2" customWidth="1"/>
    <col min="5" max="5" width="15.140625" style="2" customWidth="1"/>
    <col min="6" max="6" width="12.5703125" style="2" customWidth="1"/>
    <col min="7" max="7" width="15" style="2" customWidth="1"/>
    <col min="8" max="8" width="6.5703125" style="2" customWidth="1"/>
    <col min="9" max="20" width="5.7109375" style="2" customWidth="1"/>
    <col min="21" max="254" width="11" style="2"/>
    <col min="255" max="255" width="4.5703125" style="2" customWidth="1"/>
    <col min="256" max="256" width="5.140625" style="2" customWidth="1"/>
    <col min="257" max="257" width="13.7109375" style="2" customWidth="1"/>
    <col min="258" max="258" width="15.7109375" style="2" customWidth="1"/>
    <col min="259" max="259" width="15.140625" style="2" customWidth="1"/>
    <col min="260" max="260" width="12.5703125" style="2" customWidth="1"/>
    <col min="261" max="261" width="15" style="2" customWidth="1"/>
    <col min="262" max="262" width="9" style="2" bestFit="1" customWidth="1"/>
    <col min="263" max="276" width="5.7109375" style="2" customWidth="1"/>
    <col min="277" max="510" width="11" style="2"/>
    <col min="511" max="511" width="4.5703125" style="2" customWidth="1"/>
    <col min="512" max="512" width="5.140625" style="2" customWidth="1"/>
    <col min="513" max="513" width="13.7109375" style="2" customWidth="1"/>
    <col min="514" max="514" width="15.7109375" style="2" customWidth="1"/>
    <col min="515" max="515" width="15.140625" style="2" customWidth="1"/>
    <col min="516" max="516" width="12.5703125" style="2" customWidth="1"/>
    <col min="517" max="517" width="15" style="2" customWidth="1"/>
    <col min="518" max="518" width="9" style="2" bestFit="1" customWidth="1"/>
    <col min="519" max="532" width="5.7109375" style="2" customWidth="1"/>
    <col min="533" max="766" width="11" style="2"/>
    <col min="767" max="767" width="4.5703125" style="2" customWidth="1"/>
    <col min="768" max="768" width="5.140625" style="2" customWidth="1"/>
    <col min="769" max="769" width="13.7109375" style="2" customWidth="1"/>
    <col min="770" max="770" width="15.7109375" style="2" customWidth="1"/>
    <col min="771" max="771" width="15.140625" style="2" customWidth="1"/>
    <col min="772" max="772" width="12.5703125" style="2" customWidth="1"/>
    <col min="773" max="773" width="15" style="2" customWidth="1"/>
    <col min="774" max="774" width="9" style="2" bestFit="1" customWidth="1"/>
    <col min="775" max="788" width="5.7109375" style="2" customWidth="1"/>
    <col min="789" max="1022" width="11" style="2"/>
    <col min="1023" max="1023" width="4.5703125" style="2" customWidth="1"/>
    <col min="1024" max="1024" width="5.140625" style="2" customWidth="1"/>
    <col min="1025" max="1025" width="13.7109375" style="2" customWidth="1"/>
    <col min="1026" max="1026" width="15.7109375" style="2" customWidth="1"/>
    <col min="1027" max="1027" width="15.140625" style="2" customWidth="1"/>
    <col min="1028" max="1028" width="12.5703125" style="2" customWidth="1"/>
    <col min="1029" max="1029" width="15" style="2" customWidth="1"/>
    <col min="1030" max="1030" width="9" style="2" bestFit="1" customWidth="1"/>
    <col min="1031" max="1044" width="5.7109375" style="2" customWidth="1"/>
    <col min="1045" max="1278" width="11" style="2"/>
    <col min="1279" max="1279" width="4.5703125" style="2" customWidth="1"/>
    <col min="1280" max="1280" width="5.140625" style="2" customWidth="1"/>
    <col min="1281" max="1281" width="13.7109375" style="2" customWidth="1"/>
    <col min="1282" max="1282" width="15.7109375" style="2" customWidth="1"/>
    <col min="1283" max="1283" width="15.140625" style="2" customWidth="1"/>
    <col min="1284" max="1284" width="12.5703125" style="2" customWidth="1"/>
    <col min="1285" max="1285" width="15" style="2" customWidth="1"/>
    <col min="1286" max="1286" width="9" style="2" bestFit="1" customWidth="1"/>
    <col min="1287" max="1300" width="5.7109375" style="2" customWidth="1"/>
    <col min="1301" max="1534" width="11" style="2"/>
    <col min="1535" max="1535" width="4.5703125" style="2" customWidth="1"/>
    <col min="1536" max="1536" width="5.140625" style="2" customWidth="1"/>
    <col min="1537" max="1537" width="13.7109375" style="2" customWidth="1"/>
    <col min="1538" max="1538" width="15.7109375" style="2" customWidth="1"/>
    <col min="1539" max="1539" width="15.140625" style="2" customWidth="1"/>
    <col min="1540" max="1540" width="12.5703125" style="2" customWidth="1"/>
    <col min="1541" max="1541" width="15" style="2" customWidth="1"/>
    <col min="1542" max="1542" width="9" style="2" bestFit="1" customWidth="1"/>
    <col min="1543" max="1556" width="5.7109375" style="2" customWidth="1"/>
    <col min="1557" max="1790" width="11" style="2"/>
    <col min="1791" max="1791" width="4.5703125" style="2" customWidth="1"/>
    <col min="1792" max="1792" width="5.140625" style="2" customWidth="1"/>
    <col min="1793" max="1793" width="13.7109375" style="2" customWidth="1"/>
    <col min="1794" max="1794" width="15.7109375" style="2" customWidth="1"/>
    <col min="1795" max="1795" width="15.140625" style="2" customWidth="1"/>
    <col min="1796" max="1796" width="12.5703125" style="2" customWidth="1"/>
    <col min="1797" max="1797" width="15" style="2" customWidth="1"/>
    <col min="1798" max="1798" width="9" style="2" bestFit="1" customWidth="1"/>
    <col min="1799" max="1812" width="5.7109375" style="2" customWidth="1"/>
    <col min="1813" max="2046" width="11" style="2"/>
    <col min="2047" max="2047" width="4.5703125" style="2" customWidth="1"/>
    <col min="2048" max="2048" width="5.140625" style="2" customWidth="1"/>
    <col min="2049" max="2049" width="13.7109375" style="2" customWidth="1"/>
    <col min="2050" max="2050" width="15.7109375" style="2" customWidth="1"/>
    <col min="2051" max="2051" width="15.140625" style="2" customWidth="1"/>
    <col min="2052" max="2052" width="12.5703125" style="2" customWidth="1"/>
    <col min="2053" max="2053" width="15" style="2" customWidth="1"/>
    <col min="2054" max="2054" width="9" style="2" bestFit="1" customWidth="1"/>
    <col min="2055" max="2068" width="5.7109375" style="2" customWidth="1"/>
    <col min="2069" max="2302" width="11" style="2"/>
    <col min="2303" max="2303" width="4.5703125" style="2" customWidth="1"/>
    <col min="2304" max="2304" width="5.140625" style="2" customWidth="1"/>
    <col min="2305" max="2305" width="13.7109375" style="2" customWidth="1"/>
    <col min="2306" max="2306" width="15.7109375" style="2" customWidth="1"/>
    <col min="2307" max="2307" width="15.140625" style="2" customWidth="1"/>
    <col min="2308" max="2308" width="12.5703125" style="2" customWidth="1"/>
    <col min="2309" max="2309" width="15" style="2" customWidth="1"/>
    <col min="2310" max="2310" width="9" style="2" bestFit="1" customWidth="1"/>
    <col min="2311" max="2324" width="5.7109375" style="2" customWidth="1"/>
    <col min="2325" max="2558" width="11" style="2"/>
    <col min="2559" max="2559" width="4.5703125" style="2" customWidth="1"/>
    <col min="2560" max="2560" width="5.140625" style="2" customWidth="1"/>
    <col min="2561" max="2561" width="13.7109375" style="2" customWidth="1"/>
    <col min="2562" max="2562" width="15.7109375" style="2" customWidth="1"/>
    <col min="2563" max="2563" width="15.140625" style="2" customWidth="1"/>
    <col min="2564" max="2564" width="12.5703125" style="2" customWidth="1"/>
    <col min="2565" max="2565" width="15" style="2" customWidth="1"/>
    <col min="2566" max="2566" width="9" style="2" bestFit="1" customWidth="1"/>
    <col min="2567" max="2580" width="5.7109375" style="2" customWidth="1"/>
    <col min="2581" max="2814" width="11" style="2"/>
    <col min="2815" max="2815" width="4.5703125" style="2" customWidth="1"/>
    <col min="2816" max="2816" width="5.140625" style="2" customWidth="1"/>
    <col min="2817" max="2817" width="13.7109375" style="2" customWidth="1"/>
    <col min="2818" max="2818" width="15.7109375" style="2" customWidth="1"/>
    <col min="2819" max="2819" width="15.140625" style="2" customWidth="1"/>
    <col min="2820" max="2820" width="12.5703125" style="2" customWidth="1"/>
    <col min="2821" max="2821" width="15" style="2" customWidth="1"/>
    <col min="2822" max="2822" width="9" style="2" bestFit="1" customWidth="1"/>
    <col min="2823" max="2836" width="5.7109375" style="2" customWidth="1"/>
    <col min="2837" max="3070" width="11" style="2"/>
    <col min="3071" max="3071" width="4.5703125" style="2" customWidth="1"/>
    <col min="3072" max="3072" width="5.140625" style="2" customWidth="1"/>
    <col min="3073" max="3073" width="13.7109375" style="2" customWidth="1"/>
    <col min="3074" max="3074" width="15.7109375" style="2" customWidth="1"/>
    <col min="3075" max="3075" width="15.140625" style="2" customWidth="1"/>
    <col min="3076" max="3076" width="12.5703125" style="2" customWidth="1"/>
    <col min="3077" max="3077" width="15" style="2" customWidth="1"/>
    <col min="3078" max="3078" width="9" style="2" bestFit="1" customWidth="1"/>
    <col min="3079" max="3092" width="5.7109375" style="2" customWidth="1"/>
    <col min="3093" max="3326" width="11" style="2"/>
    <col min="3327" max="3327" width="4.5703125" style="2" customWidth="1"/>
    <col min="3328" max="3328" width="5.140625" style="2" customWidth="1"/>
    <col min="3329" max="3329" width="13.7109375" style="2" customWidth="1"/>
    <col min="3330" max="3330" width="15.7109375" style="2" customWidth="1"/>
    <col min="3331" max="3331" width="15.140625" style="2" customWidth="1"/>
    <col min="3332" max="3332" width="12.5703125" style="2" customWidth="1"/>
    <col min="3333" max="3333" width="15" style="2" customWidth="1"/>
    <col min="3334" max="3334" width="9" style="2" bestFit="1" customWidth="1"/>
    <col min="3335" max="3348" width="5.7109375" style="2" customWidth="1"/>
    <col min="3349" max="3582" width="11" style="2"/>
    <col min="3583" max="3583" width="4.5703125" style="2" customWidth="1"/>
    <col min="3584" max="3584" width="5.140625" style="2" customWidth="1"/>
    <col min="3585" max="3585" width="13.7109375" style="2" customWidth="1"/>
    <col min="3586" max="3586" width="15.7109375" style="2" customWidth="1"/>
    <col min="3587" max="3587" width="15.140625" style="2" customWidth="1"/>
    <col min="3588" max="3588" width="12.5703125" style="2" customWidth="1"/>
    <col min="3589" max="3589" width="15" style="2" customWidth="1"/>
    <col min="3590" max="3590" width="9" style="2" bestFit="1" customWidth="1"/>
    <col min="3591" max="3604" width="5.7109375" style="2" customWidth="1"/>
    <col min="3605" max="3838" width="11" style="2"/>
    <col min="3839" max="3839" width="4.5703125" style="2" customWidth="1"/>
    <col min="3840" max="3840" width="5.140625" style="2" customWidth="1"/>
    <col min="3841" max="3841" width="13.7109375" style="2" customWidth="1"/>
    <col min="3842" max="3842" width="15.7109375" style="2" customWidth="1"/>
    <col min="3843" max="3843" width="15.140625" style="2" customWidth="1"/>
    <col min="3844" max="3844" width="12.5703125" style="2" customWidth="1"/>
    <col min="3845" max="3845" width="15" style="2" customWidth="1"/>
    <col min="3846" max="3846" width="9" style="2" bestFit="1" customWidth="1"/>
    <col min="3847" max="3860" width="5.7109375" style="2" customWidth="1"/>
    <col min="3861" max="4094" width="11" style="2"/>
    <col min="4095" max="4095" width="4.5703125" style="2" customWidth="1"/>
    <col min="4096" max="4096" width="5.140625" style="2" customWidth="1"/>
    <col min="4097" max="4097" width="13.7109375" style="2" customWidth="1"/>
    <col min="4098" max="4098" width="15.7109375" style="2" customWidth="1"/>
    <col min="4099" max="4099" width="15.140625" style="2" customWidth="1"/>
    <col min="4100" max="4100" width="12.5703125" style="2" customWidth="1"/>
    <col min="4101" max="4101" width="15" style="2" customWidth="1"/>
    <col min="4102" max="4102" width="9" style="2" bestFit="1" customWidth="1"/>
    <col min="4103" max="4116" width="5.7109375" style="2" customWidth="1"/>
    <col min="4117" max="4350" width="11" style="2"/>
    <col min="4351" max="4351" width="4.5703125" style="2" customWidth="1"/>
    <col min="4352" max="4352" width="5.140625" style="2" customWidth="1"/>
    <col min="4353" max="4353" width="13.7109375" style="2" customWidth="1"/>
    <col min="4354" max="4354" width="15.7109375" style="2" customWidth="1"/>
    <col min="4355" max="4355" width="15.140625" style="2" customWidth="1"/>
    <col min="4356" max="4356" width="12.5703125" style="2" customWidth="1"/>
    <col min="4357" max="4357" width="15" style="2" customWidth="1"/>
    <col min="4358" max="4358" width="9" style="2" bestFit="1" customWidth="1"/>
    <col min="4359" max="4372" width="5.7109375" style="2" customWidth="1"/>
    <col min="4373" max="4606" width="11" style="2"/>
    <col min="4607" max="4607" width="4.5703125" style="2" customWidth="1"/>
    <col min="4608" max="4608" width="5.140625" style="2" customWidth="1"/>
    <col min="4609" max="4609" width="13.7109375" style="2" customWidth="1"/>
    <col min="4610" max="4610" width="15.7109375" style="2" customWidth="1"/>
    <col min="4611" max="4611" width="15.140625" style="2" customWidth="1"/>
    <col min="4612" max="4612" width="12.5703125" style="2" customWidth="1"/>
    <col min="4613" max="4613" width="15" style="2" customWidth="1"/>
    <col min="4614" max="4614" width="9" style="2" bestFit="1" customWidth="1"/>
    <col min="4615" max="4628" width="5.7109375" style="2" customWidth="1"/>
    <col min="4629" max="4862" width="11" style="2"/>
    <col min="4863" max="4863" width="4.5703125" style="2" customWidth="1"/>
    <col min="4864" max="4864" width="5.140625" style="2" customWidth="1"/>
    <col min="4865" max="4865" width="13.7109375" style="2" customWidth="1"/>
    <col min="4866" max="4866" width="15.7109375" style="2" customWidth="1"/>
    <col min="4867" max="4867" width="15.140625" style="2" customWidth="1"/>
    <col min="4868" max="4868" width="12.5703125" style="2" customWidth="1"/>
    <col min="4869" max="4869" width="15" style="2" customWidth="1"/>
    <col min="4870" max="4870" width="9" style="2" bestFit="1" customWidth="1"/>
    <col min="4871" max="4884" width="5.7109375" style="2" customWidth="1"/>
    <col min="4885" max="5118" width="11" style="2"/>
    <col min="5119" max="5119" width="4.5703125" style="2" customWidth="1"/>
    <col min="5120" max="5120" width="5.140625" style="2" customWidth="1"/>
    <col min="5121" max="5121" width="13.7109375" style="2" customWidth="1"/>
    <col min="5122" max="5122" width="15.7109375" style="2" customWidth="1"/>
    <col min="5123" max="5123" width="15.140625" style="2" customWidth="1"/>
    <col min="5124" max="5124" width="12.5703125" style="2" customWidth="1"/>
    <col min="5125" max="5125" width="15" style="2" customWidth="1"/>
    <col min="5126" max="5126" width="9" style="2" bestFit="1" customWidth="1"/>
    <col min="5127" max="5140" width="5.7109375" style="2" customWidth="1"/>
    <col min="5141" max="5374" width="11" style="2"/>
    <col min="5375" max="5375" width="4.5703125" style="2" customWidth="1"/>
    <col min="5376" max="5376" width="5.140625" style="2" customWidth="1"/>
    <col min="5377" max="5377" width="13.7109375" style="2" customWidth="1"/>
    <col min="5378" max="5378" width="15.7109375" style="2" customWidth="1"/>
    <col min="5379" max="5379" width="15.140625" style="2" customWidth="1"/>
    <col min="5380" max="5380" width="12.5703125" style="2" customWidth="1"/>
    <col min="5381" max="5381" width="15" style="2" customWidth="1"/>
    <col min="5382" max="5382" width="9" style="2" bestFit="1" customWidth="1"/>
    <col min="5383" max="5396" width="5.7109375" style="2" customWidth="1"/>
    <col min="5397" max="5630" width="11" style="2"/>
    <col min="5631" max="5631" width="4.5703125" style="2" customWidth="1"/>
    <col min="5632" max="5632" width="5.140625" style="2" customWidth="1"/>
    <col min="5633" max="5633" width="13.7109375" style="2" customWidth="1"/>
    <col min="5634" max="5634" width="15.7109375" style="2" customWidth="1"/>
    <col min="5635" max="5635" width="15.140625" style="2" customWidth="1"/>
    <col min="5636" max="5636" width="12.5703125" style="2" customWidth="1"/>
    <col min="5637" max="5637" width="15" style="2" customWidth="1"/>
    <col min="5638" max="5638" width="9" style="2" bestFit="1" customWidth="1"/>
    <col min="5639" max="5652" width="5.7109375" style="2" customWidth="1"/>
    <col min="5653" max="5886" width="11" style="2"/>
    <col min="5887" max="5887" width="4.5703125" style="2" customWidth="1"/>
    <col min="5888" max="5888" width="5.140625" style="2" customWidth="1"/>
    <col min="5889" max="5889" width="13.7109375" style="2" customWidth="1"/>
    <col min="5890" max="5890" width="15.7109375" style="2" customWidth="1"/>
    <col min="5891" max="5891" width="15.140625" style="2" customWidth="1"/>
    <col min="5892" max="5892" width="12.5703125" style="2" customWidth="1"/>
    <col min="5893" max="5893" width="15" style="2" customWidth="1"/>
    <col min="5894" max="5894" width="9" style="2" bestFit="1" customWidth="1"/>
    <col min="5895" max="5908" width="5.7109375" style="2" customWidth="1"/>
    <col min="5909" max="6142" width="11" style="2"/>
    <col min="6143" max="6143" width="4.5703125" style="2" customWidth="1"/>
    <col min="6144" max="6144" width="5.140625" style="2" customWidth="1"/>
    <col min="6145" max="6145" width="13.7109375" style="2" customWidth="1"/>
    <col min="6146" max="6146" width="15.7109375" style="2" customWidth="1"/>
    <col min="6147" max="6147" width="15.140625" style="2" customWidth="1"/>
    <col min="6148" max="6148" width="12.5703125" style="2" customWidth="1"/>
    <col min="6149" max="6149" width="15" style="2" customWidth="1"/>
    <col min="6150" max="6150" width="9" style="2" bestFit="1" customWidth="1"/>
    <col min="6151" max="6164" width="5.7109375" style="2" customWidth="1"/>
    <col min="6165" max="6398" width="11" style="2"/>
    <col min="6399" max="6399" width="4.5703125" style="2" customWidth="1"/>
    <col min="6400" max="6400" width="5.140625" style="2" customWidth="1"/>
    <col min="6401" max="6401" width="13.7109375" style="2" customWidth="1"/>
    <col min="6402" max="6402" width="15.7109375" style="2" customWidth="1"/>
    <col min="6403" max="6403" width="15.140625" style="2" customWidth="1"/>
    <col min="6404" max="6404" width="12.5703125" style="2" customWidth="1"/>
    <col min="6405" max="6405" width="15" style="2" customWidth="1"/>
    <col min="6406" max="6406" width="9" style="2" bestFit="1" customWidth="1"/>
    <col min="6407" max="6420" width="5.7109375" style="2" customWidth="1"/>
    <col min="6421" max="6654" width="11" style="2"/>
    <col min="6655" max="6655" width="4.5703125" style="2" customWidth="1"/>
    <col min="6656" max="6656" width="5.140625" style="2" customWidth="1"/>
    <col min="6657" max="6657" width="13.7109375" style="2" customWidth="1"/>
    <col min="6658" max="6658" width="15.7109375" style="2" customWidth="1"/>
    <col min="6659" max="6659" width="15.140625" style="2" customWidth="1"/>
    <col min="6660" max="6660" width="12.5703125" style="2" customWidth="1"/>
    <col min="6661" max="6661" width="15" style="2" customWidth="1"/>
    <col min="6662" max="6662" width="9" style="2" bestFit="1" customWidth="1"/>
    <col min="6663" max="6676" width="5.7109375" style="2" customWidth="1"/>
    <col min="6677" max="6910" width="11" style="2"/>
    <col min="6911" max="6911" width="4.5703125" style="2" customWidth="1"/>
    <col min="6912" max="6912" width="5.140625" style="2" customWidth="1"/>
    <col min="6913" max="6913" width="13.7109375" style="2" customWidth="1"/>
    <col min="6914" max="6914" width="15.7109375" style="2" customWidth="1"/>
    <col min="6915" max="6915" width="15.140625" style="2" customWidth="1"/>
    <col min="6916" max="6916" width="12.5703125" style="2" customWidth="1"/>
    <col min="6917" max="6917" width="15" style="2" customWidth="1"/>
    <col min="6918" max="6918" width="9" style="2" bestFit="1" customWidth="1"/>
    <col min="6919" max="6932" width="5.7109375" style="2" customWidth="1"/>
    <col min="6933" max="7166" width="11" style="2"/>
    <col min="7167" max="7167" width="4.5703125" style="2" customWidth="1"/>
    <col min="7168" max="7168" width="5.140625" style="2" customWidth="1"/>
    <col min="7169" max="7169" width="13.7109375" style="2" customWidth="1"/>
    <col min="7170" max="7170" width="15.7109375" style="2" customWidth="1"/>
    <col min="7171" max="7171" width="15.140625" style="2" customWidth="1"/>
    <col min="7172" max="7172" width="12.5703125" style="2" customWidth="1"/>
    <col min="7173" max="7173" width="15" style="2" customWidth="1"/>
    <col min="7174" max="7174" width="9" style="2" bestFit="1" customWidth="1"/>
    <col min="7175" max="7188" width="5.7109375" style="2" customWidth="1"/>
    <col min="7189" max="7422" width="11" style="2"/>
    <col min="7423" max="7423" width="4.5703125" style="2" customWidth="1"/>
    <col min="7424" max="7424" width="5.140625" style="2" customWidth="1"/>
    <col min="7425" max="7425" width="13.7109375" style="2" customWidth="1"/>
    <col min="7426" max="7426" width="15.7109375" style="2" customWidth="1"/>
    <col min="7427" max="7427" width="15.140625" style="2" customWidth="1"/>
    <col min="7428" max="7428" width="12.5703125" style="2" customWidth="1"/>
    <col min="7429" max="7429" width="15" style="2" customWidth="1"/>
    <col min="7430" max="7430" width="9" style="2" bestFit="1" customWidth="1"/>
    <col min="7431" max="7444" width="5.7109375" style="2" customWidth="1"/>
    <col min="7445" max="7678" width="11" style="2"/>
    <col min="7679" max="7679" width="4.5703125" style="2" customWidth="1"/>
    <col min="7680" max="7680" width="5.140625" style="2" customWidth="1"/>
    <col min="7681" max="7681" width="13.7109375" style="2" customWidth="1"/>
    <col min="7682" max="7682" width="15.7109375" style="2" customWidth="1"/>
    <col min="7683" max="7683" width="15.140625" style="2" customWidth="1"/>
    <col min="7684" max="7684" width="12.5703125" style="2" customWidth="1"/>
    <col min="7685" max="7685" width="15" style="2" customWidth="1"/>
    <col min="7686" max="7686" width="9" style="2" bestFit="1" customWidth="1"/>
    <col min="7687" max="7700" width="5.7109375" style="2" customWidth="1"/>
    <col min="7701" max="7934" width="11" style="2"/>
    <col min="7935" max="7935" width="4.5703125" style="2" customWidth="1"/>
    <col min="7936" max="7936" width="5.140625" style="2" customWidth="1"/>
    <col min="7937" max="7937" width="13.7109375" style="2" customWidth="1"/>
    <col min="7938" max="7938" width="15.7109375" style="2" customWidth="1"/>
    <col min="7939" max="7939" width="15.140625" style="2" customWidth="1"/>
    <col min="7940" max="7940" width="12.5703125" style="2" customWidth="1"/>
    <col min="7941" max="7941" width="15" style="2" customWidth="1"/>
    <col min="7942" max="7942" width="9" style="2" bestFit="1" customWidth="1"/>
    <col min="7943" max="7956" width="5.7109375" style="2" customWidth="1"/>
    <col min="7957" max="8190" width="11" style="2"/>
    <col min="8191" max="8191" width="4.5703125" style="2" customWidth="1"/>
    <col min="8192" max="8192" width="5.140625" style="2" customWidth="1"/>
    <col min="8193" max="8193" width="13.7109375" style="2" customWidth="1"/>
    <col min="8194" max="8194" width="15.7109375" style="2" customWidth="1"/>
    <col min="8195" max="8195" width="15.140625" style="2" customWidth="1"/>
    <col min="8196" max="8196" width="12.5703125" style="2" customWidth="1"/>
    <col min="8197" max="8197" width="15" style="2" customWidth="1"/>
    <col min="8198" max="8198" width="9" style="2" bestFit="1" customWidth="1"/>
    <col min="8199" max="8212" width="5.7109375" style="2" customWidth="1"/>
    <col min="8213" max="8446" width="11" style="2"/>
    <col min="8447" max="8447" width="4.5703125" style="2" customWidth="1"/>
    <col min="8448" max="8448" width="5.140625" style="2" customWidth="1"/>
    <col min="8449" max="8449" width="13.7109375" style="2" customWidth="1"/>
    <col min="8450" max="8450" width="15.7109375" style="2" customWidth="1"/>
    <col min="8451" max="8451" width="15.140625" style="2" customWidth="1"/>
    <col min="8452" max="8452" width="12.5703125" style="2" customWidth="1"/>
    <col min="8453" max="8453" width="15" style="2" customWidth="1"/>
    <col min="8454" max="8454" width="9" style="2" bestFit="1" customWidth="1"/>
    <col min="8455" max="8468" width="5.7109375" style="2" customWidth="1"/>
    <col min="8469" max="8702" width="11" style="2"/>
    <col min="8703" max="8703" width="4.5703125" style="2" customWidth="1"/>
    <col min="8704" max="8704" width="5.140625" style="2" customWidth="1"/>
    <col min="8705" max="8705" width="13.7109375" style="2" customWidth="1"/>
    <col min="8706" max="8706" width="15.7109375" style="2" customWidth="1"/>
    <col min="8707" max="8707" width="15.140625" style="2" customWidth="1"/>
    <col min="8708" max="8708" width="12.5703125" style="2" customWidth="1"/>
    <col min="8709" max="8709" width="15" style="2" customWidth="1"/>
    <col min="8710" max="8710" width="9" style="2" bestFit="1" customWidth="1"/>
    <col min="8711" max="8724" width="5.7109375" style="2" customWidth="1"/>
    <col min="8725" max="8958" width="11" style="2"/>
    <col min="8959" max="8959" width="4.5703125" style="2" customWidth="1"/>
    <col min="8960" max="8960" width="5.140625" style="2" customWidth="1"/>
    <col min="8961" max="8961" width="13.7109375" style="2" customWidth="1"/>
    <col min="8962" max="8962" width="15.7109375" style="2" customWidth="1"/>
    <col min="8963" max="8963" width="15.140625" style="2" customWidth="1"/>
    <col min="8964" max="8964" width="12.5703125" style="2" customWidth="1"/>
    <col min="8965" max="8965" width="15" style="2" customWidth="1"/>
    <col min="8966" max="8966" width="9" style="2" bestFit="1" customWidth="1"/>
    <col min="8967" max="8980" width="5.7109375" style="2" customWidth="1"/>
    <col min="8981" max="9214" width="11" style="2"/>
    <col min="9215" max="9215" width="4.5703125" style="2" customWidth="1"/>
    <col min="9216" max="9216" width="5.140625" style="2" customWidth="1"/>
    <col min="9217" max="9217" width="13.7109375" style="2" customWidth="1"/>
    <col min="9218" max="9218" width="15.7109375" style="2" customWidth="1"/>
    <col min="9219" max="9219" width="15.140625" style="2" customWidth="1"/>
    <col min="9220" max="9220" width="12.5703125" style="2" customWidth="1"/>
    <col min="9221" max="9221" width="15" style="2" customWidth="1"/>
    <col min="9222" max="9222" width="9" style="2" bestFit="1" customWidth="1"/>
    <col min="9223" max="9236" width="5.7109375" style="2" customWidth="1"/>
    <col min="9237" max="9470" width="11" style="2"/>
    <col min="9471" max="9471" width="4.5703125" style="2" customWidth="1"/>
    <col min="9472" max="9472" width="5.140625" style="2" customWidth="1"/>
    <col min="9473" max="9473" width="13.7109375" style="2" customWidth="1"/>
    <col min="9474" max="9474" width="15.7109375" style="2" customWidth="1"/>
    <col min="9475" max="9475" width="15.140625" style="2" customWidth="1"/>
    <col min="9476" max="9476" width="12.5703125" style="2" customWidth="1"/>
    <col min="9477" max="9477" width="15" style="2" customWidth="1"/>
    <col min="9478" max="9478" width="9" style="2" bestFit="1" customWidth="1"/>
    <col min="9479" max="9492" width="5.7109375" style="2" customWidth="1"/>
    <col min="9493" max="9726" width="11" style="2"/>
    <col min="9727" max="9727" width="4.5703125" style="2" customWidth="1"/>
    <col min="9728" max="9728" width="5.140625" style="2" customWidth="1"/>
    <col min="9729" max="9729" width="13.7109375" style="2" customWidth="1"/>
    <col min="9730" max="9730" width="15.7109375" style="2" customWidth="1"/>
    <col min="9731" max="9731" width="15.140625" style="2" customWidth="1"/>
    <col min="9732" max="9732" width="12.5703125" style="2" customWidth="1"/>
    <col min="9733" max="9733" width="15" style="2" customWidth="1"/>
    <col min="9734" max="9734" width="9" style="2" bestFit="1" customWidth="1"/>
    <col min="9735" max="9748" width="5.7109375" style="2" customWidth="1"/>
    <col min="9749" max="9982" width="11" style="2"/>
    <col min="9983" max="9983" width="4.5703125" style="2" customWidth="1"/>
    <col min="9984" max="9984" width="5.140625" style="2" customWidth="1"/>
    <col min="9985" max="9985" width="13.7109375" style="2" customWidth="1"/>
    <col min="9986" max="9986" width="15.7109375" style="2" customWidth="1"/>
    <col min="9987" max="9987" width="15.140625" style="2" customWidth="1"/>
    <col min="9988" max="9988" width="12.5703125" style="2" customWidth="1"/>
    <col min="9989" max="9989" width="15" style="2" customWidth="1"/>
    <col min="9990" max="9990" width="9" style="2" bestFit="1" customWidth="1"/>
    <col min="9991" max="10004" width="5.7109375" style="2" customWidth="1"/>
    <col min="10005" max="10238" width="11" style="2"/>
    <col min="10239" max="10239" width="4.5703125" style="2" customWidth="1"/>
    <col min="10240" max="10240" width="5.140625" style="2" customWidth="1"/>
    <col min="10241" max="10241" width="13.7109375" style="2" customWidth="1"/>
    <col min="10242" max="10242" width="15.7109375" style="2" customWidth="1"/>
    <col min="10243" max="10243" width="15.140625" style="2" customWidth="1"/>
    <col min="10244" max="10244" width="12.5703125" style="2" customWidth="1"/>
    <col min="10245" max="10245" width="15" style="2" customWidth="1"/>
    <col min="10246" max="10246" width="9" style="2" bestFit="1" customWidth="1"/>
    <col min="10247" max="10260" width="5.7109375" style="2" customWidth="1"/>
    <col min="10261" max="10494" width="11" style="2"/>
    <col min="10495" max="10495" width="4.5703125" style="2" customWidth="1"/>
    <col min="10496" max="10496" width="5.140625" style="2" customWidth="1"/>
    <col min="10497" max="10497" width="13.7109375" style="2" customWidth="1"/>
    <col min="10498" max="10498" width="15.7109375" style="2" customWidth="1"/>
    <col min="10499" max="10499" width="15.140625" style="2" customWidth="1"/>
    <col min="10500" max="10500" width="12.5703125" style="2" customWidth="1"/>
    <col min="10501" max="10501" width="15" style="2" customWidth="1"/>
    <col min="10502" max="10502" width="9" style="2" bestFit="1" customWidth="1"/>
    <col min="10503" max="10516" width="5.7109375" style="2" customWidth="1"/>
    <col min="10517" max="10750" width="11" style="2"/>
    <col min="10751" max="10751" width="4.5703125" style="2" customWidth="1"/>
    <col min="10752" max="10752" width="5.140625" style="2" customWidth="1"/>
    <col min="10753" max="10753" width="13.7109375" style="2" customWidth="1"/>
    <col min="10754" max="10754" width="15.7109375" style="2" customWidth="1"/>
    <col min="10755" max="10755" width="15.140625" style="2" customWidth="1"/>
    <col min="10756" max="10756" width="12.5703125" style="2" customWidth="1"/>
    <col min="10757" max="10757" width="15" style="2" customWidth="1"/>
    <col min="10758" max="10758" width="9" style="2" bestFit="1" customWidth="1"/>
    <col min="10759" max="10772" width="5.7109375" style="2" customWidth="1"/>
    <col min="10773" max="11006" width="11" style="2"/>
    <col min="11007" max="11007" width="4.5703125" style="2" customWidth="1"/>
    <col min="11008" max="11008" width="5.140625" style="2" customWidth="1"/>
    <col min="11009" max="11009" width="13.7109375" style="2" customWidth="1"/>
    <col min="11010" max="11010" width="15.7109375" style="2" customWidth="1"/>
    <col min="11011" max="11011" width="15.140625" style="2" customWidth="1"/>
    <col min="11012" max="11012" width="12.5703125" style="2" customWidth="1"/>
    <col min="11013" max="11013" width="15" style="2" customWidth="1"/>
    <col min="11014" max="11014" width="9" style="2" bestFit="1" customWidth="1"/>
    <col min="11015" max="11028" width="5.7109375" style="2" customWidth="1"/>
    <col min="11029" max="11262" width="11" style="2"/>
    <col min="11263" max="11263" width="4.5703125" style="2" customWidth="1"/>
    <col min="11264" max="11264" width="5.140625" style="2" customWidth="1"/>
    <col min="11265" max="11265" width="13.7109375" style="2" customWidth="1"/>
    <col min="11266" max="11266" width="15.7109375" style="2" customWidth="1"/>
    <col min="11267" max="11267" width="15.140625" style="2" customWidth="1"/>
    <col min="11268" max="11268" width="12.5703125" style="2" customWidth="1"/>
    <col min="11269" max="11269" width="15" style="2" customWidth="1"/>
    <col min="11270" max="11270" width="9" style="2" bestFit="1" customWidth="1"/>
    <col min="11271" max="11284" width="5.7109375" style="2" customWidth="1"/>
    <col min="11285" max="11518" width="11" style="2"/>
    <col min="11519" max="11519" width="4.5703125" style="2" customWidth="1"/>
    <col min="11520" max="11520" width="5.140625" style="2" customWidth="1"/>
    <col min="11521" max="11521" width="13.7109375" style="2" customWidth="1"/>
    <col min="11522" max="11522" width="15.7109375" style="2" customWidth="1"/>
    <col min="11523" max="11523" width="15.140625" style="2" customWidth="1"/>
    <col min="11524" max="11524" width="12.5703125" style="2" customWidth="1"/>
    <col min="11525" max="11525" width="15" style="2" customWidth="1"/>
    <col min="11526" max="11526" width="9" style="2" bestFit="1" customWidth="1"/>
    <col min="11527" max="11540" width="5.7109375" style="2" customWidth="1"/>
    <col min="11541" max="11774" width="11" style="2"/>
    <col min="11775" max="11775" width="4.5703125" style="2" customWidth="1"/>
    <col min="11776" max="11776" width="5.140625" style="2" customWidth="1"/>
    <col min="11777" max="11777" width="13.7109375" style="2" customWidth="1"/>
    <col min="11778" max="11778" width="15.7109375" style="2" customWidth="1"/>
    <col min="11779" max="11779" width="15.140625" style="2" customWidth="1"/>
    <col min="11780" max="11780" width="12.5703125" style="2" customWidth="1"/>
    <col min="11781" max="11781" width="15" style="2" customWidth="1"/>
    <col min="11782" max="11782" width="9" style="2" bestFit="1" customWidth="1"/>
    <col min="11783" max="11796" width="5.7109375" style="2" customWidth="1"/>
    <col min="11797" max="12030" width="11" style="2"/>
    <col min="12031" max="12031" width="4.5703125" style="2" customWidth="1"/>
    <col min="12032" max="12032" width="5.140625" style="2" customWidth="1"/>
    <col min="12033" max="12033" width="13.7109375" style="2" customWidth="1"/>
    <col min="12034" max="12034" width="15.7109375" style="2" customWidth="1"/>
    <col min="12035" max="12035" width="15.140625" style="2" customWidth="1"/>
    <col min="12036" max="12036" width="12.5703125" style="2" customWidth="1"/>
    <col min="12037" max="12037" width="15" style="2" customWidth="1"/>
    <col min="12038" max="12038" width="9" style="2" bestFit="1" customWidth="1"/>
    <col min="12039" max="12052" width="5.7109375" style="2" customWidth="1"/>
    <col min="12053" max="12286" width="11" style="2"/>
    <col min="12287" max="12287" width="4.5703125" style="2" customWidth="1"/>
    <col min="12288" max="12288" width="5.140625" style="2" customWidth="1"/>
    <col min="12289" max="12289" width="13.7109375" style="2" customWidth="1"/>
    <col min="12290" max="12290" width="15.7109375" style="2" customWidth="1"/>
    <col min="12291" max="12291" width="15.140625" style="2" customWidth="1"/>
    <col min="12292" max="12292" width="12.5703125" style="2" customWidth="1"/>
    <col min="12293" max="12293" width="15" style="2" customWidth="1"/>
    <col min="12294" max="12294" width="9" style="2" bestFit="1" customWidth="1"/>
    <col min="12295" max="12308" width="5.7109375" style="2" customWidth="1"/>
    <col min="12309" max="12542" width="11" style="2"/>
    <col min="12543" max="12543" width="4.5703125" style="2" customWidth="1"/>
    <col min="12544" max="12544" width="5.140625" style="2" customWidth="1"/>
    <col min="12545" max="12545" width="13.7109375" style="2" customWidth="1"/>
    <col min="12546" max="12546" width="15.7109375" style="2" customWidth="1"/>
    <col min="12547" max="12547" width="15.140625" style="2" customWidth="1"/>
    <col min="12548" max="12548" width="12.5703125" style="2" customWidth="1"/>
    <col min="12549" max="12549" width="15" style="2" customWidth="1"/>
    <col min="12550" max="12550" width="9" style="2" bestFit="1" customWidth="1"/>
    <col min="12551" max="12564" width="5.7109375" style="2" customWidth="1"/>
    <col min="12565" max="12798" width="11" style="2"/>
    <col min="12799" max="12799" width="4.5703125" style="2" customWidth="1"/>
    <col min="12800" max="12800" width="5.140625" style="2" customWidth="1"/>
    <col min="12801" max="12801" width="13.7109375" style="2" customWidth="1"/>
    <col min="12802" max="12802" width="15.7109375" style="2" customWidth="1"/>
    <col min="12803" max="12803" width="15.140625" style="2" customWidth="1"/>
    <col min="12804" max="12804" width="12.5703125" style="2" customWidth="1"/>
    <col min="12805" max="12805" width="15" style="2" customWidth="1"/>
    <col min="12806" max="12806" width="9" style="2" bestFit="1" customWidth="1"/>
    <col min="12807" max="12820" width="5.7109375" style="2" customWidth="1"/>
    <col min="12821" max="13054" width="11" style="2"/>
    <col min="13055" max="13055" width="4.5703125" style="2" customWidth="1"/>
    <col min="13056" max="13056" width="5.140625" style="2" customWidth="1"/>
    <col min="13057" max="13057" width="13.7109375" style="2" customWidth="1"/>
    <col min="13058" max="13058" width="15.7109375" style="2" customWidth="1"/>
    <col min="13059" max="13059" width="15.140625" style="2" customWidth="1"/>
    <col min="13060" max="13060" width="12.5703125" style="2" customWidth="1"/>
    <col min="13061" max="13061" width="15" style="2" customWidth="1"/>
    <col min="13062" max="13062" width="9" style="2" bestFit="1" customWidth="1"/>
    <col min="13063" max="13076" width="5.7109375" style="2" customWidth="1"/>
    <col min="13077" max="13310" width="11" style="2"/>
    <col min="13311" max="13311" width="4.5703125" style="2" customWidth="1"/>
    <col min="13312" max="13312" width="5.140625" style="2" customWidth="1"/>
    <col min="13313" max="13313" width="13.7109375" style="2" customWidth="1"/>
    <col min="13314" max="13314" width="15.7109375" style="2" customWidth="1"/>
    <col min="13315" max="13315" width="15.140625" style="2" customWidth="1"/>
    <col min="13316" max="13316" width="12.5703125" style="2" customWidth="1"/>
    <col min="13317" max="13317" width="15" style="2" customWidth="1"/>
    <col min="13318" max="13318" width="9" style="2" bestFit="1" customWidth="1"/>
    <col min="13319" max="13332" width="5.7109375" style="2" customWidth="1"/>
    <col min="13333" max="13566" width="11" style="2"/>
    <col min="13567" max="13567" width="4.5703125" style="2" customWidth="1"/>
    <col min="13568" max="13568" width="5.140625" style="2" customWidth="1"/>
    <col min="13569" max="13569" width="13.7109375" style="2" customWidth="1"/>
    <col min="13570" max="13570" width="15.7109375" style="2" customWidth="1"/>
    <col min="13571" max="13571" width="15.140625" style="2" customWidth="1"/>
    <col min="13572" max="13572" width="12.5703125" style="2" customWidth="1"/>
    <col min="13573" max="13573" width="15" style="2" customWidth="1"/>
    <col min="13574" max="13574" width="9" style="2" bestFit="1" customWidth="1"/>
    <col min="13575" max="13588" width="5.7109375" style="2" customWidth="1"/>
    <col min="13589" max="13822" width="11" style="2"/>
    <col min="13823" max="13823" width="4.5703125" style="2" customWidth="1"/>
    <col min="13824" max="13824" width="5.140625" style="2" customWidth="1"/>
    <col min="13825" max="13825" width="13.7109375" style="2" customWidth="1"/>
    <col min="13826" max="13826" width="15.7109375" style="2" customWidth="1"/>
    <col min="13827" max="13827" width="15.140625" style="2" customWidth="1"/>
    <col min="13828" max="13828" width="12.5703125" style="2" customWidth="1"/>
    <col min="13829" max="13829" width="15" style="2" customWidth="1"/>
    <col min="13830" max="13830" width="9" style="2" bestFit="1" customWidth="1"/>
    <col min="13831" max="13844" width="5.7109375" style="2" customWidth="1"/>
    <col min="13845" max="14078" width="11" style="2"/>
    <col min="14079" max="14079" width="4.5703125" style="2" customWidth="1"/>
    <col min="14080" max="14080" width="5.140625" style="2" customWidth="1"/>
    <col min="14081" max="14081" width="13.7109375" style="2" customWidth="1"/>
    <col min="14082" max="14082" width="15.7109375" style="2" customWidth="1"/>
    <col min="14083" max="14083" width="15.140625" style="2" customWidth="1"/>
    <col min="14084" max="14084" width="12.5703125" style="2" customWidth="1"/>
    <col min="14085" max="14085" width="15" style="2" customWidth="1"/>
    <col min="14086" max="14086" width="9" style="2" bestFit="1" customWidth="1"/>
    <col min="14087" max="14100" width="5.7109375" style="2" customWidth="1"/>
    <col min="14101" max="14334" width="11" style="2"/>
    <col min="14335" max="14335" width="4.5703125" style="2" customWidth="1"/>
    <col min="14336" max="14336" width="5.140625" style="2" customWidth="1"/>
    <col min="14337" max="14337" width="13.7109375" style="2" customWidth="1"/>
    <col min="14338" max="14338" width="15.7109375" style="2" customWidth="1"/>
    <col min="14339" max="14339" width="15.140625" style="2" customWidth="1"/>
    <col min="14340" max="14340" width="12.5703125" style="2" customWidth="1"/>
    <col min="14341" max="14341" width="15" style="2" customWidth="1"/>
    <col min="14342" max="14342" width="9" style="2" bestFit="1" customWidth="1"/>
    <col min="14343" max="14356" width="5.7109375" style="2" customWidth="1"/>
    <col min="14357" max="14590" width="11" style="2"/>
    <col min="14591" max="14591" width="4.5703125" style="2" customWidth="1"/>
    <col min="14592" max="14592" width="5.140625" style="2" customWidth="1"/>
    <col min="14593" max="14593" width="13.7109375" style="2" customWidth="1"/>
    <col min="14594" max="14594" width="15.7109375" style="2" customWidth="1"/>
    <col min="14595" max="14595" width="15.140625" style="2" customWidth="1"/>
    <col min="14596" max="14596" width="12.5703125" style="2" customWidth="1"/>
    <col min="14597" max="14597" width="15" style="2" customWidth="1"/>
    <col min="14598" max="14598" width="9" style="2" bestFit="1" customWidth="1"/>
    <col min="14599" max="14612" width="5.7109375" style="2" customWidth="1"/>
    <col min="14613" max="14846" width="11" style="2"/>
    <col min="14847" max="14847" width="4.5703125" style="2" customWidth="1"/>
    <col min="14848" max="14848" width="5.140625" style="2" customWidth="1"/>
    <col min="14849" max="14849" width="13.7109375" style="2" customWidth="1"/>
    <col min="14850" max="14850" width="15.7109375" style="2" customWidth="1"/>
    <col min="14851" max="14851" width="15.140625" style="2" customWidth="1"/>
    <col min="14852" max="14852" width="12.5703125" style="2" customWidth="1"/>
    <col min="14853" max="14853" width="15" style="2" customWidth="1"/>
    <col min="14854" max="14854" width="9" style="2" bestFit="1" customWidth="1"/>
    <col min="14855" max="14868" width="5.7109375" style="2" customWidth="1"/>
    <col min="14869" max="15102" width="11" style="2"/>
    <col min="15103" max="15103" width="4.5703125" style="2" customWidth="1"/>
    <col min="15104" max="15104" width="5.140625" style="2" customWidth="1"/>
    <col min="15105" max="15105" width="13.7109375" style="2" customWidth="1"/>
    <col min="15106" max="15106" width="15.7109375" style="2" customWidth="1"/>
    <col min="15107" max="15107" width="15.140625" style="2" customWidth="1"/>
    <col min="15108" max="15108" width="12.5703125" style="2" customWidth="1"/>
    <col min="15109" max="15109" width="15" style="2" customWidth="1"/>
    <col min="15110" max="15110" width="9" style="2" bestFit="1" customWidth="1"/>
    <col min="15111" max="15124" width="5.7109375" style="2" customWidth="1"/>
    <col min="15125" max="15358" width="11" style="2"/>
    <col min="15359" max="15359" width="4.5703125" style="2" customWidth="1"/>
    <col min="15360" max="15360" width="5.140625" style="2" customWidth="1"/>
    <col min="15361" max="15361" width="13.7109375" style="2" customWidth="1"/>
    <col min="15362" max="15362" width="15.7109375" style="2" customWidth="1"/>
    <col min="15363" max="15363" width="15.140625" style="2" customWidth="1"/>
    <col min="15364" max="15364" width="12.5703125" style="2" customWidth="1"/>
    <col min="15365" max="15365" width="15" style="2" customWidth="1"/>
    <col min="15366" max="15366" width="9" style="2" bestFit="1" customWidth="1"/>
    <col min="15367" max="15380" width="5.7109375" style="2" customWidth="1"/>
    <col min="15381" max="15614" width="11" style="2"/>
    <col min="15615" max="15615" width="4.5703125" style="2" customWidth="1"/>
    <col min="15616" max="15616" width="5.140625" style="2" customWidth="1"/>
    <col min="15617" max="15617" width="13.7109375" style="2" customWidth="1"/>
    <col min="15618" max="15618" width="15.7109375" style="2" customWidth="1"/>
    <col min="15619" max="15619" width="15.140625" style="2" customWidth="1"/>
    <col min="15620" max="15620" width="12.5703125" style="2" customWidth="1"/>
    <col min="15621" max="15621" width="15" style="2" customWidth="1"/>
    <col min="15622" max="15622" width="9" style="2" bestFit="1" customWidth="1"/>
    <col min="15623" max="15636" width="5.7109375" style="2" customWidth="1"/>
    <col min="15637" max="15870" width="11" style="2"/>
    <col min="15871" max="15871" width="4.5703125" style="2" customWidth="1"/>
    <col min="15872" max="15872" width="5.140625" style="2" customWidth="1"/>
    <col min="15873" max="15873" width="13.7109375" style="2" customWidth="1"/>
    <col min="15874" max="15874" width="15.7109375" style="2" customWidth="1"/>
    <col min="15875" max="15875" width="15.140625" style="2" customWidth="1"/>
    <col min="15876" max="15876" width="12.5703125" style="2" customWidth="1"/>
    <col min="15877" max="15877" width="15" style="2" customWidth="1"/>
    <col min="15878" max="15878" width="9" style="2" bestFit="1" customWidth="1"/>
    <col min="15879" max="15892" width="5.7109375" style="2" customWidth="1"/>
    <col min="15893" max="16126" width="11" style="2"/>
    <col min="16127" max="16127" width="4.5703125" style="2" customWidth="1"/>
    <col min="16128" max="16128" width="5.140625" style="2" customWidth="1"/>
    <col min="16129" max="16129" width="13.7109375" style="2" customWidth="1"/>
    <col min="16130" max="16130" width="15.7109375" style="2" customWidth="1"/>
    <col min="16131" max="16131" width="15.140625" style="2" customWidth="1"/>
    <col min="16132" max="16132" width="12.5703125" style="2" customWidth="1"/>
    <col min="16133" max="16133" width="15" style="2" customWidth="1"/>
    <col min="16134" max="16134" width="9" style="2" bestFit="1" customWidth="1"/>
    <col min="16135" max="16148" width="5.7109375" style="2" customWidth="1"/>
    <col min="16149" max="16384" width="11" style="2"/>
  </cols>
  <sheetData>
    <row r="1" spans="1:20" s="7" customFormat="1" ht="36.6" customHeight="1" x14ac:dyDescent="0.2">
      <c r="A1" s="3"/>
      <c r="B1" s="4"/>
      <c r="C1" s="4"/>
      <c r="D1" s="4" t="s">
        <v>0</v>
      </c>
      <c r="E1" s="4"/>
      <c r="F1" s="4"/>
      <c r="G1" s="4"/>
      <c r="H1" s="4"/>
      <c r="I1" s="5" t="s">
        <v>1</v>
      </c>
      <c r="J1" s="6" t="s">
        <v>2</v>
      </c>
      <c r="K1" s="5" t="s">
        <v>3</v>
      </c>
      <c r="L1" s="6" t="s">
        <v>4</v>
      </c>
      <c r="M1" s="6" t="s">
        <v>5</v>
      </c>
      <c r="N1" s="5" t="s">
        <v>6</v>
      </c>
      <c r="O1" s="6" t="s">
        <v>7</v>
      </c>
      <c r="P1" s="5" t="s">
        <v>8</v>
      </c>
      <c r="Q1" s="6" t="s">
        <v>9</v>
      </c>
      <c r="R1" s="5" t="s">
        <v>10</v>
      </c>
      <c r="S1" s="6" t="s">
        <v>11</v>
      </c>
      <c r="T1" s="5" t="s">
        <v>12</v>
      </c>
    </row>
    <row r="2" spans="1:20" s="7" customFormat="1" ht="47.45" customHeight="1" x14ac:dyDescent="0.2">
      <c r="A2" s="3" t="s">
        <v>13</v>
      </c>
      <c r="B2" s="8" t="s">
        <v>14</v>
      </c>
      <c r="C2" s="9"/>
      <c r="D2" s="8" t="s">
        <v>15</v>
      </c>
      <c r="E2" s="10"/>
      <c r="F2" s="10"/>
      <c r="G2" s="10"/>
      <c r="H2" s="9"/>
      <c r="I2" s="5"/>
      <c r="J2" s="6"/>
      <c r="K2" s="5"/>
      <c r="L2" s="6"/>
      <c r="M2" s="6"/>
      <c r="N2" s="5"/>
      <c r="O2" s="6"/>
      <c r="P2" s="5"/>
      <c r="Q2" s="6"/>
      <c r="R2" s="5"/>
      <c r="S2" s="6"/>
      <c r="T2" s="5"/>
    </row>
    <row r="3" spans="1:20" s="15" customFormat="1" ht="20.100000000000001" customHeight="1" x14ac:dyDescent="0.2">
      <c r="A3" s="11">
        <v>1</v>
      </c>
      <c r="B3" s="12" t="s">
        <v>16</v>
      </c>
      <c r="C3" s="12"/>
      <c r="D3" s="13" t="s">
        <v>17</v>
      </c>
      <c r="E3" s="13"/>
      <c r="F3" s="13"/>
      <c r="G3" s="13"/>
      <c r="H3" s="13"/>
      <c r="I3" s="14" t="s">
        <v>18</v>
      </c>
      <c r="J3" s="14" t="s">
        <v>18</v>
      </c>
      <c r="K3" s="14" t="s">
        <v>18</v>
      </c>
      <c r="L3" s="14" t="s">
        <v>18</v>
      </c>
      <c r="M3" s="14" t="s">
        <v>18</v>
      </c>
      <c r="N3" s="14" t="s">
        <v>18</v>
      </c>
      <c r="O3" s="14" t="s">
        <v>18</v>
      </c>
      <c r="P3" s="14" t="s">
        <v>18</v>
      </c>
      <c r="Q3" s="14" t="s">
        <v>18</v>
      </c>
      <c r="R3" s="14" t="s">
        <v>18</v>
      </c>
      <c r="S3" s="14" t="s">
        <v>18</v>
      </c>
      <c r="T3" s="14" t="s">
        <v>18</v>
      </c>
    </row>
    <row r="4" spans="1:20" s="15" customFormat="1" ht="20.100000000000001" customHeight="1" x14ac:dyDescent="0.2">
      <c r="A4" s="11">
        <v>2</v>
      </c>
      <c r="B4" s="12" t="s">
        <v>16</v>
      </c>
      <c r="C4" s="12"/>
      <c r="D4" s="13" t="s">
        <v>19</v>
      </c>
      <c r="E4" s="13"/>
      <c r="F4" s="13"/>
      <c r="G4" s="13"/>
      <c r="H4" s="13"/>
      <c r="I4" s="14" t="s">
        <v>18</v>
      </c>
      <c r="J4" s="14" t="s">
        <v>18</v>
      </c>
      <c r="K4" s="14" t="s">
        <v>18</v>
      </c>
      <c r="L4" s="14" t="s">
        <v>18</v>
      </c>
      <c r="M4" s="14" t="s">
        <v>18</v>
      </c>
      <c r="N4" s="14" t="s">
        <v>18</v>
      </c>
      <c r="O4" s="14" t="s">
        <v>18</v>
      </c>
      <c r="P4" s="14" t="s">
        <v>18</v>
      </c>
      <c r="Q4" s="14" t="s">
        <v>18</v>
      </c>
      <c r="R4" s="14" t="s">
        <v>18</v>
      </c>
      <c r="S4" s="14" t="s">
        <v>18</v>
      </c>
      <c r="T4" s="14" t="s">
        <v>18</v>
      </c>
    </row>
    <row r="5" spans="1:20" s="16" customFormat="1" ht="20.100000000000001" customHeight="1" x14ac:dyDescent="0.2">
      <c r="A5" s="11">
        <v>4</v>
      </c>
      <c r="B5" s="12" t="s">
        <v>16</v>
      </c>
      <c r="C5" s="12"/>
      <c r="D5" s="13" t="s">
        <v>20</v>
      </c>
      <c r="E5" s="13"/>
      <c r="F5" s="13"/>
      <c r="G5" s="13"/>
      <c r="H5" s="13"/>
      <c r="I5" s="14" t="s">
        <v>21</v>
      </c>
      <c r="J5" s="14" t="s">
        <v>21</v>
      </c>
      <c r="K5" s="14" t="s">
        <v>21</v>
      </c>
      <c r="L5" s="14" t="s">
        <v>21</v>
      </c>
      <c r="M5" s="14" t="s">
        <v>21</v>
      </c>
      <c r="N5" s="14" t="s">
        <v>21</v>
      </c>
      <c r="O5" s="14" t="s">
        <v>21</v>
      </c>
      <c r="P5" s="14" t="s">
        <v>21</v>
      </c>
      <c r="Q5" s="14" t="s">
        <v>21</v>
      </c>
      <c r="R5" s="14" t="s">
        <v>18</v>
      </c>
      <c r="S5" s="14" t="s">
        <v>18</v>
      </c>
      <c r="T5" s="14" t="s">
        <v>21</v>
      </c>
    </row>
    <row r="6" spans="1:20" s="16" customFormat="1" ht="20.100000000000001" customHeight="1" x14ac:dyDescent="0.2">
      <c r="A6" s="11">
        <v>5</v>
      </c>
      <c r="B6" s="12" t="s">
        <v>16</v>
      </c>
      <c r="C6" s="12"/>
      <c r="D6" s="13" t="s">
        <v>22</v>
      </c>
      <c r="E6" s="13"/>
      <c r="F6" s="13"/>
      <c r="G6" s="13"/>
      <c r="H6" s="13"/>
      <c r="I6" s="14" t="s">
        <v>18</v>
      </c>
      <c r="J6" s="14" t="s">
        <v>18</v>
      </c>
      <c r="K6" s="14" t="s">
        <v>18</v>
      </c>
      <c r="L6" s="14" t="s">
        <v>18</v>
      </c>
      <c r="M6" s="14" t="s">
        <v>18</v>
      </c>
      <c r="N6" s="14" t="s">
        <v>18</v>
      </c>
      <c r="O6" s="14" t="s">
        <v>18</v>
      </c>
      <c r="P6" s="14" t="s">
        <v>18</v>
      </c>
      <c r="Q6" s="14" t="s">
        <v>18</v>
      </c>
      <c r="R6" s="14" t="s">
        <v>18</v>
      </c>
      <c r="S6" s="14" t="s">
        <v>18</v>
      </c>
      <c r="T6" s="14" t="s">
        <v>18</v>
      </c>
    </row>
    <row r="7" spans="1:20" s="16" customFormat="1" ht="21.75" customHeight="1" x14ac:dyDescent="0.2">
      <c r="A7" s="11">
        <v>6</v>
      </c>
      <c r="B7" s="12" t="s">
        <v>23</v>
      </c>
      <c r="C7" s="12"/>
      <c r="D7" s="13" t="s">
        <v>24</v>
      </c>
      <c r="E7" s="13"/>
      <c r="F7" s="13"/>
      <c r="G7" s="13"/>
      <c r="H7" s="13"/>
      <c r="I7" s="14" t="s">
        <v>21</v>
      </c>
      <c r="J7" s="14" t="s">
        <v>21</v>
      </c>
      <c r="K7" s="14" t="s">
        <v>18</v>
      </c>
      <c r="L7" s="14" t="s">
        <v>25</v>
      </c>
      <c r="M7" s="14" t="s">
        <v>21</v>
      </c>
      <c r="N7" s="14" t="s">
        <v>21</v>
      </c>
      <c r="O7" s="14" t="s">
        <v>21</v>
      </c>
      <c r="P7" s="14" t="s">
        <v>18</v>
      </c>
      <c r="Q7" s="14" t="s">
        <v>26</v>
      </c>
      <c r="R7" s="14" t="s">
        <v>18</v>
      </c>
      <c r="S7" s="14" t="s">
        <v>18</v>
      </c>
      <c r="T7" s="14" t="s">
        <v>21</v>
      </c>
    </row>
    <row r="8" spans="1:20" s="16" customFormat="1" ht="20.100000000000001" customHeight="1" x14ac:dyDescent="0.2">
      <c r="A8" s="11">
        <v>7</v>
      </c>
      <c r="B8" s="12" t="s">
        <v>16</v>
      </c>
      <c r="C8" s="12"/>
      <c r="D8" s="13" t="s">
        <v>27</v>
      </c>
      <c r="E8" s="13"/>
      <c r="F8" s="13"/>
      <c r="G8" s="13"/>
      <c r="H8" s="13"/>
      <c r="I8" s="14" t="s">
        <v>21</v>
      </c>
      <c r="J8" s="14" t="s">
        <v>21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4" t="s">
        <v>21</v>
      </c>
      <c r="R8" s="14" t="s">
        <v>21</v>
      </c>
      <c r="S8" s="14" t="s">
        <v>18</v>
      </c>
      <c r="T8" s="14" t="s">
        <v>21</v>
      </c>
    </row>
    <row r="9" spans="1:20" s="16" customFormat="1" ht="20.100000000000001" customHeight="1" x14ac:dyDescent="0.2">
      <c r="A9" s="11">
        <v>8</v>
      </c>
      <c r="B9" s="12" t="s">
        <v>28</v>
      </c>
      <c r="C9" s="12"/>
      <c r="D9" s="17" t="s">
        <v>29</v>
      </c>
      <c r="E9" s="17"/>
      <c r="F9" s="17"/>
      <c r="G9" s="17"/>
      <c r="H9" s="17"/>
      <c r="I9" s="14" t="s">
        <v>21</v>
      </c>
      <c r="J9" s="14" t="s">
        <v>21</v>
      </c>
      <c r="K9" s="14" t="s">
        <v>21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4" t="s">
        <v>21</v>
      </c>
      <c r="R9" s="14" t="s">
        <v>21</v>
      </c>
      <c r="S9" s="14" t="s">
        <v>21</v>
      </c>
      <c r="T9" s="14" t="s">
        <v>21</v>
      </c>
    </row>
    <row r="10" spans="1:20" s="16" customFormat="1" ht="20.100000000000001" customHeight="1" x14ac:dyDescent="0.2">
      <c r="A10" s="11">
        <v>9</v>
      </c>
      <c r="B10" s="12" t="s">
        <v>28</v>
      </c>
      <c r="C10" s="12"/>
      <c r="D10" s="17" t="s">
        <v>30</v>
      </c>
      <c r="E10" s="17"/>
      <c r="F10" s="17"/>
      <c r="G10" s="17"/>
      <c r="H10" s="17"/>
      <c r="I10" s="14" t="s">
        <v>21</v>
      </c>
      <c r="J10" s="14" t="s">
        <v>21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4" t="s">
        <v>21</v>
      </c>
      <c r="R10" s="14" t="s">
        <v>21</v>
      </c>
      <c r="S10" s="14" t="s">
        <v>21</v>
      </c>
      <c r="T10" s="14" t="s">
        <v>21</v>
      </c>
    </row>
    <row r="11" spans="1:20" s="16" customFormat="1" ht="20.100000000000001" customHeight="1" x14ac:dyDescent="0.2">
      <c r="A11" s="11">
        <v>10</v>
      </c>
      <c r="B11" s="12" t="s">
        <v>31</v>
      </c>
      <c r="C11" s="12"/>
      <c r="D11" s="13" t="s">
        <v>32</v>
      </c>
      <c r="E11" s="13"/>
      <c r="F11" s="13"/>
      <c r="G11" s="13"/>
      <c r="H11" s="13"/>
      <c r="I11" s="14" t="s">
        <v>18</v>
      </c>
      <c r="J11" s="14" t="s">
        <v>21</v>
      </c>
      <c r="K11" s="14" t="s">
        <v>18</v>
      </c>
      <c r="L11" s="14" t="s">
        <v>18</v>
      </c>
      <c r="M11" s="14" t="s">
        <v>21</v>
      </c>
      <c r="N11" s="14" t="s">
        <v>18</v>
      </c>
      <c r="O11" s="14" t="s">
        <v>18</v>
      </c>
      <c r="P11" s="14" t="s">
        <v>18</v>
      </c>
      <c r="Q11" s="14" t="s">
        <v>18</v>
      </c>
      <c r="R11" s="14" t="s">
        <v>18</v>
      </c>
      <c r="S11" s="14" t="s">
        <v>18</v>
      </c>
      <c r="T11" s="14" t="s">
        <v>18</v>
      </c>
    </row>
    <row r="12" spans="1:20" s="16" customFormat="1" ht="20.100000000000001" customHeight="1" x14ac:dyDescent="0.2">
      <c r="A12" s="11">
        <v>11</v>
      </c>
      <c r="B12" s="12" t="s">
        <v>31</v>
      </c>
      <c r="C12" s="12"/>
      <c r="D12" s="13" t="s">
        <v>33</v>
      </c>
      <c r="E12" s="13"/>
      <c r="F12" s="13"/>
      <c r="G12" s="13"/>
      <c r="H12" s="13"/>
      <c r="I12" s="14" t="s">
        <v>18</v>
      </c>
      <c r="J12" s="14" t="s">
        <v>21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4" t="s">
        <v>21</v>
      </c>
      <c r="R12" s="14" t="s">
        <v>21</v>
      </c>
      <c r="S12" s="14" t="s">
        <v>21</v>
      </c>
      <c r="T12" s="14" t="s">
        <v>21</v>
      </c>
    </row>
    <row r="13" spans="1:20" s="16" customFormat="1" ht="20.100000000000001" customHeight="1" x14ac:dyDescent="0.2">
      <c r="A13" s="11">
        <v>12</v>
      </c>
      <c r="B13" s="12" t="s">
        <v>34</v>
      </c>
      <c r="C13" s="12"/>
      <c r="D13" s="13" t="s">
        <v>35</v>
      </c>
      <c r="E13" s="13"/>
      <c r="F13" s="13"/>
      <c r="G13" s="13"/>
      <c r="H13" s="13"/>
      <c r="I13" s="14" t="s">
        <v>18</v>
      </c>
      <c r="J13" s="14" t="s">
        <v>18</v>
      </c>
      <c r="K13" s="14" t="s">
        <v>21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4" t="s">
        <v>21</v>
      </c>
      <c r="R13" s="14" t="s">
        <v>18</v>
      </c>
      <c r="S13" s="14" t="s">
        <v>18</v>
      </c>
      <c r="T13" s="14" t="s">
        <v>21</v>
      </c>
    </row>
    <row r="14" spans="1:20" s="16" customFormat="1" ht="20.100000000000001" customHeight="1" x14ac:dyDescent="0.2">
      <c r="A14" s="11">
        <v>13</v>
      </c>
      <c r="B14" s="12" t="s">
        <v>36</v>
      </c>
      <c r="C14" s="12"/>
      <c r="D14" s="13" t="s">
        <v>37</v>
      </c>
      <c r="E14" s="13"/>
      <c r="F14" s="13"/>
      <c r="G14" s="13"/>
      <c r="H14" s="13"/>
      <c r="I14" s="14" t="s">
        <v>18</v>
      </c>
      <c r="J14" s="14" t="s">
        <v>18</v>
      </c>
      <c r="K14" s="14" t="s">
        <v>18</v>
      </c>
      <c r="L14" s="14" t="s">
        <v>18</v>
      </c>
      <c r="M14" s="14" t="s">
        <v>18</v>
      </c>
      <c r="N14" s="14" t="s">
        <v>18</v>
      </c>
      <c r="O14" s="14" t="s">
        <v>18</v>
      </c>
      <c r="P14" s="14" t="s">
        <v>18</v>
      </c>
      <c r="Q14" s="14" t="s">
        <v>18</v>
      </c>
      <c r="R14" s="14" t="s">
        <v>18</v>
      </c>
      <c r="S14" s="14" t="s">
        <v>18</v>
      </c>
      <c r="T14" s="14" t="s">
        <v>18</v>
      </c>
    </row>
    <row r="15" spans="1:20" s="16" customFormat="1" ht="20.100000000000001" customHeight="1" x14ac:dyDescent="0.2">
      <c r="A15" s="11">
        <v>14</v>
      </c>
      <c r="B15" s="12" t="s">
        <v>36</v>
      </c>
      <c r="C15" s="12"/>
      <c r="D15" s="13" t="s">
        <v>38</v>
      </c>
      <c r="E15" s="13"/>
      <c r="F15" s="13"/>
      <c r="G15" s="13"/>
      <c r="H15" s="13"/>
      <c r="I15" s="14" t="s">
        <v>18</v>
      </c>
      <c r="J15" s="14" t="s">
        <v>18</v>
      </c>
      <c r="K15" s="14" t="s">
        <v>18</v>
      </c>
      <c r="L15" s="14" t="s">
        <v>25</v>
      </c>
      <c r="M15" s="14" t="s">
        <v>18</v>
      </c>
      <c r="N15" s="14" t="s">
        <v>18</v>
      </c>
      <c r="O15" s="14" t="s">
        <v>18</v>
      </c>
      <c r="P15" s="14" t="s">
        <v>18</v>
      </c>
      <c r="Q15" s="14" t="s">
        <v>18</v>
      </c>
      <c r="R15" s="14" t="s">
        <v>18</v>
      </c>
      <c r="S15" s="14" t="s">
        <v>18</v>
      </c>
      <c r="T15" s="14" t="s">
        <v>18</v>
      </c>
    </row>
    <row r="16" spans="1:20" s="16" customFormat="1" ht="22.5" customHeight="1" x14ac:dyDescent="0.2">
      <c r="A16" s="11">
        <v>15</v>
      </c>
      <c r="B16" s="12" t="s">
        <v>39</v>
      </c>
      <c r="C16" s="12"/>
      <c r="D16" s="18" t="s">
        <v>40</v>
      </c>
      <c r="E16" s="13"/>
      <c r="F16" s="13"/>
      <c r="G16" s="13"/>
      <c r="H16" s="13"/>
      <c r="I16" s="14" t="s">
        <v>18</v>
      </c>
      <c r="J16" s="14" t="s">
        <v>18</v>
      </c>
      <c r="K16" s="14" t="s">
        <v>18</v>
      </c>
      <c r="L16" s="14" t="s">
        <v>18</v>
      </c>
      <c r="M16" s="14" t="s">
        <v>18</v>
      </c>
      <c r="N16" s="14" t="s">
        <v>18</v>
      </c>
      <c r="O16" s="14" t="s">
        <v>18</v>
      </c>
      <c r="P16" s="14" t="s">
        <v>18</v>
      </c>
      <c r="Q16" s="14" t="s">
        <v>18</v>
      </c>
      <c r="R16" s="14" t="s">
        <v>18</v>
      </c>
      <c r="S16" s="14" t="s">
        <v>18</v>
      </c>
      <c r="T16" s="14" t="s">
        <v>25</v>
      </c>
    </row>
    <row r="17" spans="1:22" s="16" customFormat="1" ht="20.100000000000001" customHeight="1" x14ac:dyDescent="0.2">
      <c r="A17" s="11">
        <v>16</v>
      </c>
      <c r="B17" s="12" t="s">
        <v>41</v>
      </c>
      <c r="C17" s="12"/>
      <c r="D17" s="18" t="s">
        <v>42</v>
      </c>
      <c r="E17" s="13"/>
      <c r="F17" s="13"/>
      <c r="G17" s="13"/>
      <c r="H17" s="13"/>
      <c r="I17" s="14" t="s">
        <v>18</v>
      </c>
      <c r="J17" s="14" t="s">
        <v>18</v>
      </c>
      <c r="K17" s="14" t="s">
        <v>18</v>
      </c>
      <c r="L17" s="14" t="s">
        <v>18</v>
      </c>
      <c r="M17" s="14" t="s">
        <v>18</v>
      </c>
      <c r="N17" s="14" t="s">
        <v>18</v>
      </c>
      <c r="O17" s="14" t="s">
        <v>18</v>
      </c>
      <c r="P17" s="14" t="s">
        <v>18</v>
      </c>
      <c r="Q17" s="14" t="s">
        <v>18</v>
      </c>
      <c r="R17" s="14" t="s">
        <v>18</v>
      </c>
      <c r="S17" s="14" t="s">
        <v>18</v>
      </c>
      <c r="T17" s="14" t="s">
        <v>18</v>
      </c>
    </row>
    <row r="18" spans="1:22" s="16" customFormat="1" ht="20.100000000000001" customHeight="1" x14ac:dyDescent="0.2">
      <c r="A18" s="11">
        <v>17</v>
      </c>
      <c r="B18" s="12" t="s">
        <v>43</v>
      </c>
      <c r="C18" s="12"/>
      <c r="D18" s="13" t="s">
        <v>44</v>
      </c>
      <c r="E18" s="13"/>
      <c r="F18" s="13"/>
      <c r="G18" s="13"/>
      <c r="H18" s="13"/>
      <c r="I18" s="14" t="s">
        <v>18</v>
      </c>
      <c r="J18" s="14" t="s">
        <v>18</v>
      </c>
      <c r="K18" s="14" t="s">
        <v>18</v>
      </c>
      <c r="L18" s="14" t="s">
        <v>18</v>
      </c>
      <c r="M18" s="14" t="s">
        <v>18</v>
      </c>
      <c r="N18" s="14" t="s">
        <v>18</v>
      </c>
      <c r="O18" s="14" t="s">
        <v>18</v>
      </c>
      <c r="P18" s="14" t="s">
        <v>18</v>
      </c>
      <c r="Q18" s="14" t="s">
        <v>18</v>
      </c>
      <c r="R18" s="14" t="s">
        <v>18</v>
      </c>
      <c r="S18" s="14" t="s">
        <v>18</v>
      </c>
      <c r="T18" s="14" t="s">
        <v>18</v>
      </c>
    </row>
    <row r="19" spans="1:22" s="16" customFormat="1" ht="20.100000000000001" customHeight="1" x14ac:dyDescent="0.2">
      <c r="A19" s="11">
        <v>18</v>
      </c>
      <c r="B19" s="12" t="s">
        <v>43</v>
      </c>
      <c r="C19" s="12"/>
      <c r="D19" s="13" t="s">
        <v>45</v>
      </c>
      <c r="E19" s="13"/>
      <c r="F19" s="13"/>
      <c r="G19" s="13"/>
      <c r="H19" s="13"/>
      <c r="I19" s="14" t="s">
        <v>18</v>
      </c>
      <c r="J19" s="14" t="s">
        <v>18</v>
      </c>
      <c r="K19" s="14" t="s">
        <v>18</v>
      </c>
      <c r="L19" s="14" t="s">
        <v>18</v>
      </c>
      <c r="M19" s="14" t="s">
        <v>18</v>
      </c>
      <c r="N19" s="14" t="s">
        <v>18</v>
      </c>
      <c r="O19" s="14" t="s">
        <v>18</v>
      </c>
      <c r="P19" s="14" t="s">
        <v>18</v>
      </c>
      <c r="Q19" s="14" t="s">
        <v>18</v>
      </c>
      <c r="R19" s="14" t="s">
        <v>25</v>
      </c>
      <c r="S19" s="14" t="s">
        <v>25</v>
      </c>
      <c r="T19" s="14" t="s">
        <v>18</v>
      </c>
    </row>
    <row r="20" spans="1:22" s="16" customFormat="1" ht="20.100000000000001" customHeight="1" x14ac:dyDescent="0.2">
      <c r="A20" s="11">
        <v>19</v>
      </c>
      <c r="B20" s="12" t="s">
        <v>46</v>
      </c>
      <c r="C20" s="12"/>
      <c r="D20" s="18" t="s">
        <v>47</v>
      </c>
      <c r="E20" s="18"/>
      <c r="F20" s="18"/>
      <c r="G20" s="18"/>
      <c r="H20" s="18"/>
      <c r="I20" s="14" t="s">
        <v>21</v>
      </c>
      <c r="J20" s="14" t="s">
        <v>21</v>
      </c>
      <c r="K20" s="14" t="s">
        <v>18</v>
      </c>
      <c r="L20" s="14" t="s">
        <v>18</v>
      </c>
      <c r="M20" s="14" t="s">
        <v>21</v>
      </c>
      <c r="N20" s="14" t="s">
        <v>21</v>
      </c>
      <c r="O20" s="14" t="s">
        <v>21</v>
      </c>
      <c r="P20" s="14" t="s">
        <v>18</v>
      </c>
      <c r="Q20" s="14" t="s">
        <v>18</v>
      </c>
      <c r="R20" s="14" t="s">
        <v>18</v>
      </c>
      <c r="S20" s="14" t="s">
        <v>18</v>
      </c>
      <c r="T20" s="14" t="s">
        <v>21</v>
      </c>
    </row>
    <row r="21" spans="1:22" ht="21" customHeight="1" x14ac:dyDescent="0.2"/>
    <row r="22" spans="1:22" x14ac:dyDescent="0.25">
      <c r="A22" s="2"/>
      <c r="H22" s="19" t="s">
        <v>48</v>
      </c>
      <c r="I22" s="20">
        <f t="shared" ref="I22:T22" si="0">COUNTIF(I3:I20,"s")</f>
        <v>12</v>
      </c>
      <c r="J22" s="20">
        <f t="shared" si="0"/>
        <v>10</v>
      </c>
      <c r="K22" s="20">
        <f t="shared" si="0"/>
        <v>12</v>
      </c>
      <c r="L22" s="20">
        <f t="shared" si="0"/>
        <v>10</v>
      </c>
      <c r="M22" s="20">
        <f t="shared" si="0"/>
        <v>9</v>
      </c>
      <c r="N22" s="20">
        <f t="shared" si="0"/>
        <v>10</v>
      </c>
      <c r="O22" s="20">
        <f t="shared" si="0"/>
        <v>10</v>
      </c>
      <c r="P22" s="20">
        <f t="shared" si="0"/>
        <v>12</v>
      </c>
      <c r="Q22" s="20">
        <f t="shared" si="0"/>
        <v>11</v>
      </c>
      <c r="R22" s="20">
        <f t="shared" si="0"/>
        <v>13</v>
      </c>
      <c r="S22" s="20">
        <f t="shared" si="0"/>
        <v>14</v>
      </c>
      <c r="T22" s="20">
        <f t="shared" si="0"/>
        <v>9</v>
      </c>
      <c r="U22" s="2">
        <f t="shared" ref="U22:U23" si="1">SUM(I22:T22)</f>
        <v>132</v>
      </c>
      <c r="V22" s="21">
        <f>U22/$U$25</f>
        <v>0.96350364963503654</v>
      </c>
    </row>
    <row r="23" spans="1:22" x14ac:dyDescent="0.25">
      <c r="A23" s="2"/>
      <c r="H23" s="19" t="s">
        <v>49</v>
      </c>
      <c r="I23" s="22">
        <f t="shared" ref="I23:T23" si="2">COUNTIF(I3:I20,"N")</f>
        <v>0</v>
      </c>
      <c r="J23" s="22">
        <f t="shared" si="2"/>
        <v>0</v>
      </c>
      <c r="K23" s="22">
        <f t="shared" si="2"/>
        <v>0</v>
      </c>
      <c r="L23" s="22">
        <f t="shared" si="2"/>
        <v>2</v>
      </c>
      <c r="M23" s="22">
        <f t="shared" si="2"/>
        <v>0</v>
      </c>
      <c r="N23" s="22">
        <f t="shared" si="2"/>
        <v>0</v>
      </c>
      <c r="O23" s="22">
        <f t="shared" si="2"/>
        <v>0</v>
      </c>
      <c r="P23" s="22">
        <f t="shared" si="2"/>
        <v>0</v>
      </c>
      <c r="Q23" s="22">
        <f t="shared" si="2"/>
        <v>0</v>
      </c>
      <c r="R23" s="22">
        <f t="shared" si="2"/>
        <v>1</v>
      </c>
      <c r="S23" s="22">
        <f t="shared" si="2"/>
        <v>1</v>
      </c>
      <c r="T23" s="22">
        <f t="shared" si="2"/>
        <v>1</v>
      </c>
      <c r="U23" s="2">
        <f t="shared" si="1"/>
        <v>5</v>
      </c>
      <c r="V23" s="21">
        <f t="shared" ref="V23:V24" si="3">U23/$U$25</f>
        <v>3.6496350364963501E-2</v>
      </c>
    </row>
    <row r="24" spans="1:22" x14ac:dyDescent="0.25">
      <c r="A24" s="2"/>
      <c r="H24" s="19" t="s">
        <v>21</v>
      </c>
      <c r="I24" s="23">
        <f t="shared" ref="I24:T24" si="4">COUNTIF(I3:I20,"NA")</f>
        <v>6</v>
      </c>
      <c r="J24" s="23">
        <f t="shared" si="4"/>
        <v>8</v>
      </c>
      <c r="K24" s="23">
        <f t="shared" si="4"/>
        <v>6</v>
      </c>
      <c r="L24" s="23">
        <f t="shared" si="4"/>
        <v>6</v>
      </c>
      <c r="M24" s="23">
        <f t="shared" si="4"/>
        <v>9</v>
      </c>
      <c r="N24" s="23">
        <f t="shared" si="4"/>
        <v>8</v>
      </c>
      <c r="O24" s="23">
        <f t="shared" si="4"/>
        <v>8</v>
      </c>
      <c r="P24" s="23">
        <f t="shared" si="4"/>
        <v>6</v>
      </c>
      <c r="Q24" s="23">
        <f t="shared" si="4"/>
        <v>6</v>
      </c>
      <c r="R24" s="23">
        <f t="shared" si="4"/>
        <v>4</v>
      </c>
      <c r="S24" s="23">
        <f t="shared" si="4"/>
        <v>3</v>
      </c>
      <c r="T24" s="23">
        <f t="shared" si="4"/>
        <v>8</v>
      </c>
      <c r="U24" s="2">
        <f>SUM(I24:T24)</f>
        <v>78</v>
      </c>
      <c r="V24" s="21">
        <f t="shared" si="3"/>
        <v>0.56934306569343063</v>
      </c>
    </row>
    <row r="25" spans="1:22" ht="13.5" thickBot="1" x14ac:dyDescent="0.3">
      <c r="A25" s="2"/>
      <c r="U25" s="2">
        <f>SUM(U22:U23)</f>
        <v>137</v>
      </c>
    </row>
    <row r="26" spans="1:22" ht="13.9" customHeight="1" thickBot="1" x14ac:dyDescent="0.3">
      <c r="A26" s="24"/>
      <c r="B26" s="25"/>
      <c r="C26" s="26" t="s">
        <v>50</v>
      </c>
      <c r="D26" s="27"/>
      <c r="E26" s="27"/>
      <c r="F26" s="28"/>
    </row>
    <row r="27" spans="1:22" ht="13.5" customHeight="1" x14ac:dyDescent="0.25">
      <c r="A27" s="29"/>
      <c r="B27" s="30"/>
      <c r="C27" s="31" t="s">
        <v>51</v>
      </c>
      <c r="D27" s="32" t="s">
        <v>52</v>
      </c>
      <c r="E27" s="33" t="s">
        <v>53</v>
      </c>
      <c r="F27" s="34" t="s">
        <v>54</v>
      </c>
      <c r="G27" s="35" t="s">
        <v>55</v>
      </c>
      <c r="K27" s="36" t="s">
        <v>56</v>
      </c>
      <c r="L27" s="37"/>
      <c r="M27" s="37"/>
      <c r="N27" s="37"/>
      <c r="O27" s="37"/>
      <c r="P27" s="37"/>
      <c r="Q27" s="37"/>
      <c r="R27" s="37"/>
      <c r="S27" s="37"/>
      <c r="T27" s="37"/>
    </row>
    <row r="28" spans="1:22" ht="12.75" customHeight="1" x14ac:dyDescent="0.2">
      <c r="A28" s="38" t="s">
        <v>57</v>
      </c>
      <c r="B28" s="39"/>
      <c r="C28" s="40">
        <f>I22</f>
        <v>12</v>
      </c>
      <c r="D28" s="41">
        <f>I23</f>
        <v>0</v>
      </c>
      <c r="E28" s="42">
        <f>I24</f>
        <v>6</v>
      </c>
      <c r="F28" s="43">
        <f>SUM(C28:D28)</f>
        <v>12</v>
      </c>
      <c r="G28" s="44">
        <f>100%-(D28*100/C28/100)</f>
        <v>1</v>
      </c>
      <c r="K28" s="37"/>
      <c r="L28" s="37"/>
      <c r="M28" s="37"/>
      <c r="N28" s="37"/>
      <c r="O28" s="37"/>
      <c r="P28" s="37"/>
      <c r="Q28" s="37"/>
      <c r="R28" s="37"/>
      <c r="S28" s="37"/>
      <c r="T28" s="37"/>
    </row>
    <row r="29" spans="1:22" s="7" customFormat="1" x14ac:dyDescent="0.2">
      <c r="A29" s="45" t="s">
        <v>2</v>
      </c>
      <c r="B29" s="46"/>
      <c r="C29" s="40">
        <f>J22</f>
        <v>10</v>
      </c>
      <c r="D29" s="41">
        <f>J23</f>
        <v>0</v>
      </c>
      <c r="E29" s="42">
        <f>J24</f>
        <v>8</v>
      </c>
      <c r="F29" s="43">
        <f t="shared" ref="F29:F39" si="5">SUM(C29:D29)</f>
        <v>10</v>
      </c>
      <c r="G29" s="44">
        <f>100%-(D29*100/C29/100)</f>
        <v>1</v>
      </c>
      <c r="I29" s="2"/>
      <c r="J29" s="2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2"/>
      <c r="V29" s="2"/>
    </row>
    <row r="30" spans="1:22" s="7" customFormat="1" x14ac:dyDescent="0.2">
      <c r="A30" s="47" t="s">
        <v>3</v>
      </c>
      <c r="B30" s="38"/>
      <c r="C30" s="40">
        <f>K22</f>
        <v>12</v>
      </c>
      <c r="D30" s="41">
        <f>K23</f>
        <v>0</v>
      </c>
      <c r="E30" s="42">
        <f>K24</f>
        <v>6</v>
      </c>
      <c r="F30" s="43">
        <f>SUM(C30:D30)</f>
        <v>12</v>
      </c>
      <c r="G30" s="44">
        <f>100%-(D30*100/C30/100)</f>
        <v>1</v>
      </c>
      <c r="H30" s="2"/>
      <c r="I30" s="2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2"/>
      <c r="V30" s="2"/>
    </row>
    <row r="31" spans="1:22" s="7" customFormat="1" x14ac:dyDescent="0.2">
      <c r="A31" s="48" t="s">
        <v>4</v>
      </c>
      <c r="B31" s="45"/>
      <c r="C31" s="40">
        <f>L22</f>
        <v>10</v>
      </c>
      <c r="D31" s="41">
        <f>L23</f>
        <v>2</v>
      </c>
      <c r="E31" s="42">
        <f>L24</f>
        <v>6</v>
      </c>
      <c r="F31" s="43">
        <f t="shared" si="5"/>
        <v>12</v>
      </c>
      <c r="G31" s="44">
        <f t="shared" ref="G31:G39" si="6">100%-(D31*100/C31/100)</f>
        <v>0.8</v>
      </c>
      <c r="H31" s="2"/>
      <c r="I31" s="2"/>
      <c r="J31" s="2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2"/>
      <c r="V31" s="2"/>
    </row>
    <row r="32" spans="1:22" s="7" customFormat="1" x14ac:dyDescent="0.2">
      <c r="A32" s="48" t="s">
        <v>5</v>
      </c>
      <c r="B32" s="45"/>
      <c r="C32" s="40">
        <f>M22</f>
        <v>9</v>
      </c>
      <c r="D32" s="41">
        <f>M23</f>
        <v>0</v>
      </c>
      <c r="E32" s="42">
        <f>M24</f>
        <v>9</v>
      </c>
      <c r="F32" s="43">
        <f t="shared" si="5"/>
        <v>9</v>
      </c>
      <c r="G32" s="44">
        <f t="shared" si="6"/>
        <v>1</v>
      </c>
      <c r="H32" s="2"/>
      <c r="I32" s="2"/>
      <c r="J32" s="2"/>
      <c r="K32" s="37"/>
      <c r="L32" s="37"/>
      <c r="M32" s="37"/>
      <c r="N32" s="37"/>
      <c r="O32" s="37"/>
      <c r="P32" s="37"/>
      <c r="Q32" s="37"/>
      <c r="R32" s="37"/>
      <c r="S32" s="37"/>
      <c r="T32" s="37"/>
    </row>
    <row r="33" spans="1:20" s="7" customFormat="1" x14ac:dyDescent="0.2">
      <c r="A33" s="47" t="s">
        <v>6</v>
      </c>
      <c r="B33" s="38"/>
      <c r="C33" s="40">
        <f>N22</f>
        <v>10</v>
      </c>
      <c r="D33" s="41">
        <f>N23</f>
        <v>0</v>
      </c>
      <c r="E33" s="42">
        <f>N24</f>
        <v>8</v>
      </c>
      <c r="F33" s="43">
        <f t="shared" si="5"/>
        <v>10</v>
      </c>
      <c r="G33" s="44">
        <f t="shared" si="6"/>
        <v>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s="7" customFormat="1" x14ac:dyDescent="0.2">
      <c r="A34" s="48" t="s">
        <v>7</v>
      </c>
      <c r="B34" s="45"/>
      <c r="C34" s="40">
        <f>O22</f>
        <v>10</v>
      </c>
      <c r="D34" s="41">
        <f>O23</f>
        <v>0</v>
      </c>
      <c r="E34" s="42">
        <f>O24</f>
        <v>8</v>
      </c>
      <c r="F34" s="43">
        <f t="shared" si="5"/>
        <v>10</v>
      </c>
      <c r="G34" s="44">
        <f t="shared" si="6"/>
        <v>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s="7" customFormat="1" x14ac:dyDescent="0.2">
      <c r="A35" s="47" t="s">
        <v>8</v>
      </c>
      <c r="B35" s="38"/>
      <c r="C35" s="40">
        <f>P22</f>
        <v>12</v>
      </c>
      <c r="D35" s="41">
        <f>P23</f>
        <v>0</v>
      </c>
      <c r="E35" s="42">
        <f>P24</f>
        <v>6</v>
      </c>
      <c r="F35" s="43">
        <f t="shared" si="5"/>
        <v>12</v>
      </c>
      <c r="G35" s="44">
        <f t="shared" si="6"/>
        <v>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s="7" customFormat="1" x14ac:dyDescent="0.2">
      <c r="A36" s="48" t="s">
        <v>9</v>
      </c>
      <c r="B36" s="45"/>
      <c r="C36" s="40">
        <f>Q22</f>
        <v>11</v>
      </c>
      <c r="D36" s="41">
        <f>Q23</f>
        <v>0</v>
      </c>
      <c r="E36" s="42">
        <f>Q24</f>
        <v>6</v>
      </c>
      <c r="F36" s="43">
        <f t="shared" si="5"/>
        <v>11</v>
      </c>
      <c r="G36" s="44">
        <f t="shared" si="6"/>
        <v>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s="7" customFormat="1" x14ac:dyDescent="0.2">
      <c r="A37" s="47" t="s">
        <v>10</v>
      </c>
      <c r="B37" s="38"/>
      <c r="C37" s="40">
        <f>R22</f>
        <v>13</v>
      </c>
      <c r="D37" s="41">
        <f>R23</f>
        <v>1</v>
      </c>
      <c r="E37" s="42">
        <f>R24</f>
        <v>4</v>
      </c>
      <c r="F37" s="43">
        <f t="shared" si="5"/>
        <v>14</v>
      </c>
      <c r="G37" s="44">
        <f t="shared" si="6"/>
        <v>0.92307692307692313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s="7" customFormat="1" x14ac:dyDescent="0.2">
      <c r="A38" s="48" t="s">
        <v>58</v>
      </c>
      <c r="B38" s="45"/>
      <c r="C38" s="40">
        <f>S22</f>
        <v>14</v>
      </c>
      <c r="D38" s="41">
        <f>S23</f>
        <v>1</v>
      </c>
      <c r="E38" s="42">
        <f>S24</f>
        <v>3</v>
      </c>
      <c r="F38" s="43">
        <f t="shared" si="5"/>
        <v>15</v>
      </c>
      <c r="G38" s="44">
        <f t="shared" si="6"/>
        <v>0.9285714285714286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s="7" customFormat="1" x14ac:dyDescent="0.2">
      <c r="A39" s="47" t="s">
        <v>12</v>
      </c>
      <c r="B39" s="38"/>
      <c r="C39" s="40">
        <f>T22</f>
        <v>9</v>
      </c>
      <c r="D39" s="41">
        <f>T23</f>
        <v>1</v>
      </c>
      <c r="E39" s="42">
        <f>T24</f>
        <v>8</v>
      </c>
      <c r="F39" s="43">
        <f t="shared" si="5"/>
        <v>10</v>
      </c>
      <c r="G39" s="44">
        <f t="shared" si="6"/>
        <v>0.88888888888888884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s="7" customFormat="1" ht="16.5" thickBot="1" x14ac:dyDescent="0.25">
      <c r="A40" s="2"/>
      <c r="B40" s="2"/>
      <c r="C40" s="49">
        <f>SUM(C28:C39)</f>
        <v>132</v>
      </c>
      <c r="D40" s="50">
        <f>SUM(D28:D39)</f>
        <v>5</v>
      </c>
      <c r="E40" s="51">
        <f>SUM(E28:E39)</f>
        <v>78</v>
      </c>
      <c r="F40" s="52">
        <f>SUM(F28:F39)</f>
        <v>137</v>
      </c>
      <c r="G40" s="53">
        <f>AVERAGE(G28:G39)</f>
        <v>0.96171143671143688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s="7" customForma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s="7" customForma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s="7" customForma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</sheetData>
  <autoFilter ref="A2:H20" xr:uid="{00000000-0009-0000-0000-000007000000}">
    <filterColumn colId="1" showButton="0"/>
    <filterColumn colId="3" showButton="0"/>
    <filterColumn colId="4" showButton="0"/>
    <filterColumn colId="5" showButton="0"/>
    <filterColumn colId="6" showButton="0"/>
  </autoFilter>
  <mergeCells count="66">
    <mergeCell ref="A38:B38"/>
    <mergeCell ref="A39:B39"/>
    <mergeCell ref="A32:B32"/>
    <mergeCell ref="A33:B33"/>
    <mergeCell ref="A34:B34"/>
    <mergeCell ref="A35:B35"/>
    <mergeCell ref="A36:B36"/>
    <mergeCell ref="A37:B37"/>
    <mergeCell ref="B19:C19"/>
    <mergeCell ref="D19:H19"/>
    <mergeCell ref="B20:C20"/>
    <mergeCell ref="D20:H20"/>
    <mergeCell ref="C26:F26"/>
    <mergeCell ref="K27:T32"/>
    <mergeCell ref="A28:B28"/>
    <mergeCell ref="A29:B29"/>
    <mergeCell ref="A30:B30"/>
    <mergeCell ref="A31:B31"/>
    <mergeCell ref="B16:C16"/>
    <mergeCell ref="D16:H16"/>
    <mergeCell ref="B17:C17"/>
    <mergeCell ref="D17:H17"/>
    <mergeCell ref="B18:C18"/>
    <mergeCell ref="D18:H18"/>
    <mergeCell ref="B13:C13"/>
    <mergeCell ref="D13:H13"/>
    <mergeCell ref="B14:C14"/>
    <mergeCell ref="D14:H14"/>
    <mergeCell ref="B15:C15"/>
    <mergeCell ref="D15:H15"/>
    <mergeCell ref="B10:C10"/>
    <mergeCell ref="D10:H10"/>
    <mergeCell ref="B11:C11"/>
    <mergeCell ref="D11:H11"/>
    <mergeCell ref="B12:C12"/>
    <mergeCell ref="D12:H12"/>
    <mergeCell ref="B7:C7"/>
    <mergeCell ref="D7:H7"/>
    <mergeCell ref="B8:C8"/>
    <mergeCell ref="D8:H8"/>
    <mergeCell ref="B9:C9"/>
    <mergeCell ref="D9:H9"/>
    <mergeCell ref="B4:C4"/>
    <mergeCell ref="D4:H4"/>
    <mergeCell ref="B5:C5"/>
    <mergeCell ref="D5:H5"/>
    <mergeCell ref="B6:C6"/>
    <mergeCell ref="D6:H6"/>
    <mergeCell ref="S1:S2"/>
    <mergeCell ref="T1:T2"/>
    <mergeCell ref="B2:C2"/>
    <mergeCell ref="D2:H2"/>
    <mergeCell ref="B3:C3"/>
    <mergeCell ref="D3:H3"/>
    <mergeCell ref="M1:M2"/>
    <mergeCell ref="N1:N2"/>
    <mergeCell ref="O1:O2"/>
    <mergeCell ref="P1:P2"/>
    <mergeCell ref="Q1:Q2"/>
    <mergeCell ref="R1:R2"/>
    <mergeCell ref="B1:C1"/>
    <mergeCell ref="D1:H1"/>
    <mergeCell ref="I1:I2"/>
    <mergeCell ref="J1:J2"/>
    <mergeCell ref="K1:K2"/>
    <mergeCell ref="L1:L2"/>
  </mergeCells>
  <conditionalFormatting sqref="I3:T20">
    <cfRule type="containsText" dxfId="65" priority="1" operator="containsText" text="NA">
      <formula>NOT(ISERROR(SEARCH("NA",I3)))</formula>
    </cfRule>
    <cfRule type="containsText" dxfId="64" priority="2" operator="containsText" text="N">
      <formula>NOT(ISERROR(SEARCH("N",I3)))</formula>
    </cfRule>
    <cfRule type="containsText" dxfId="63" priority="3" operator="containsText" text="S">
      <formula>NOT(ISERROR(SEARCH("S",I3)))</formula>
    </cfRule>
  </conditionalFormatting>
  <printOptions horizontalCentered="1"/>
  <pageMargins left="0" right="0" top="0" bottom="0" header="0" footer="0"/>
  <pageSetup paperSize="9" scale="85" orientation="landscape" horizontalDpi="4294967293" r:id="rId1"/>
  <headerFooter alignWithMargins="0">
    <oddFooter>&amp;LRQ - 047 - Rev 4– 05/07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E149-E3E5-43D3-B58F-335C45A13B3D}">
  <sheetPr codeName="Planilha128">
    <tabColor theme="3"/>
    <pageSetUpPr fitToPage="1"/>
  </sheetPr>
  <dimension ref="A1:Y115"/>
  <sheetViews>
    <sheetView zoomScale="91" zoomScaleNormal="91" workbookViewId="0">
      <selection sqref="A1:XFD1"/>
    </sheetView>
  </sheetViews>
  <sheetFormatPr defaultColWidth="11" defaultRowHeight="12.75" x14ac:dyDescent="0.2"/>
  <cols>
    <col min="1" max="1" width="6.7109375" style="7" customWidth="1"/>
    <col min="2" max="2" width="14.140625" style="98" customWidth="1"/>
    <col min="3" max="3" width="7.5703125" style="98" customWidth="1"/>
    <col min="4" max="4" width="11.140625" style="2" customWidth="1"/>
    <col min="5" max="5" width="10.85546875" style="2" customWidth="1"/>
    <col min="6" max="6" width="23.85546875" style="2" customWidth="1"/>
    <col min="7" max="7" width="14.7109375" style="2" customWidth="1"/>
    <col min="8" max="8" width="9.28515625" style="2" customWidth="1"/>
    <col min="9" max="9" width="3.42578125" style="2" customWidth="1"/>
    <col min="10" max="10" width="9.28515625" style="2" hidden="1" customWidth="1"/>
    <col min="11" max="11" width="7.5703125" style="2" hidden="1" customWidth="1"/>
    <col min="12" max="12" width="6.7109375" style="2" customWidth="1"/>
    <col min="13" max="23" width="5.7109375" style="2" customWidth="1"/>
    <col min="24" max="253" width="11" style="2"/>
    <col min="254" max="254" width="6.7109375" style="2" customWidth="1"/>
    <col min="255" max="255" width="9.140625" style="2" customWidth="1"/>
    <col min="256" max="256" width="7.5703125" style="2" customWidth="1"/>
    <col min="257" max="257" width="11.140625" style="2" customWidth="1"/>
    <col min="258" max="258" width="10.85546875" style="2" customWidth="1"/>
    <col min="259" max="259" width="23.85546875" style="2" customWidth="1"/>
    <col min="260" max="260" width="14.7109375" style="2" customWidth="1"/>
    <col min="261" max="263" width="9.28515625" style="2" customWidth="1"/>
    <col min="264" max="264" width="7.5703125" style="2" customWidth="1"/>
    <col min="265" max="266" width="6.7109375" style="2" customWidth="1"/>
    <col min="267" max="279" width="5.7109375" style="2" customWidth="1"/>
    <col min="280" max="509" width="11" style="2"/>
    <col min="510" max="510" width="6.7109375" style="2" customWidth="1"/>
    <col min="511" max="511" width="9.140625" style="2" customWidth="1"/>
    <col min="512" max="512" width="7.5703125" style="2" customWidth="1"/>
    <col min="513" max="513" width="11.140625" style="2" customWidth="1"/>
    <col min="514" max="514" width="10.85546875" style="2" customWidth="1"/>
    <col min="515" max="515" width="23.85546875" style="2" customWidth="1"/>
    <col min="516" max="516" width="14.7109375" style="2" customWidth="1"/>
    <col min="517" max="519" width="9.28515625" style="2" customWidth="1"/>
    <col min="520" max="520" width="7.5703125" style="2" customWidth="1"/>
    <col min="521" max="522" width="6.7109375" style="2" customWidth="1"/>
    <col min="523" max="535" width="5.7109375" style="2" customWidth="1"/>
    <col min="536" max="765" width="11" style="2"/>
    <col min="766" max="766" width="6.7109375" style="2" customWidth="1"/>
    <col min="767" max="767" width="9.140625" style="2" customWidth="1"/>
    <col min="768" max="768" width="7.5703125" style="2" customWidth="1"/>
    <col min="769" max="769" width="11.140625" style="2" customWidth="1"/>
    <col min="770" max="770" width="10.85546875" style="2" customWidth="1"/>
    <col min="771" max="771" width="23.85546875" style="2" customWidth="1"/>
    <col min="772" max="772" width="14.7109375" style="2" customWidth="1"/>
    <col min="773" max="775" width="9.28515625" style="2" customWidth="1"/>
    <col min="776" max="776" width="7.5703125" style="2" customWidth="1"/>
    <col min="777" max="778" width="6.7109375" style="2" customWidth="1"/>
    <col min="779" max="791" width="5.7109375" style="2" customWidth="1"/>
    <col min="792" max="1021" width="11" style="2"/>
    <col min="1022" max="1022" width="6.7109375" style="2" customWidth="1"/>
    <col min="1023" max="1023" width="9.140625" style="2" customWidth="1"/>
    <col min="1024" max="1024" width="7.5703125" style="2" customWidth="1"/>
    <col min="1025" max="1025" width="11.140625" style="2" customWidth="1"/>
    <col min="1026" max="1026" width="10.85546875" style="2" customWidth="1"/>
    <col min="1027" max="1027" width="23.85546875" style="2" customWidth="1"/>
    <col min="1028" max="1028" width="14.7109375" style="2" customWidth="1"/>
    <col min="1029" max="1031" width="9.28515625" style="2" customWidth="1"/>
    <col min="1032" max="1032" width="7.5703125" style="2" customWidth="1"/>
    <col min="1033" max="1034" width="6.7109375" style="2" customWidth="1"/>
    <col min="1035" max="1047" width="5.7109375" style="2" customWidth="1"/>
    <col min="1048" max="1277" width="11" style="2"/>
    <col min="1278" max="1278" width="6.7109375" style="2" customWidth="1"/>
    <col min="1279" max="1279" width="9.140625" style="2" customWidth="1"/>
    <col min="1280" max="1280" width="7.5703125" style="2" customWidth="1"/>
    <col min="1281" max="1281" width="11.140625" style="2" customWidth="1"/>
    <col min="1282" max="1282" width="10.85546875" style="2" customWidth="1"/>
    <col min="1283" max="1283" width="23.85546875" style="2" customWidth="1"/>
    <col min="1284" max="1284" width="14.7109375" style="2" customWidth="1"/>
    <col min="1285" max="1287" width="9.28515625" style="2" customWidth="1"/>
    <col min="1288" max="1288" width="7.5703125" style="2" customWidth="1"/>
    <col min="1289" max="1290" width="6.7109375" style="2" customWidth="1"/>
    <col min="1291" max="1303" width="5.7109375" style="2" customWidth="1"/>
    <col min="1304" max="1533" width="11" style="2"/>
    <col min="1534" max="1534" width="6.7109375" style="2" customWidth="1"/>
    <col min="1535" max="1535" width="9.140625" style="2" customWidth="1"/>
    <col min="1536" max="1536" width="7.5703125" style="2" customWidth="1"/>
    <col min="1537" max="1537" width="11.140625" style="2" customWidth="1"/>
    <col min="1538" max="1538" width="10.85546875" style="2" customWidth="1"/>
    <col min="1539" max="1539" width="23.85546875" style="2" customWidth="1"/>
    <col min="1540" max="1540" width="14.7109375" style="2" customWidth="1"/>
    <col min="1541" max="1543" width="9.28515625" style="2" customWidth="1"/>
    <col min="1544" max="1544" width="7.5703125" style="2" customWidth="1"/>
    <col min="1545" max="1546" width="6.7109375" style="2" customWidth="1"/>
    <col min="1547" max="1559" width="5.7109375" style="2" customWidth="1"/>
    <col min="1560" max="1789" width="11" style="2"/>
    <col min="1790" max="1790" width="6.7109375" style="2" customWidth="1"/>
    <col min="1791" max="1791" width="9.140625" style="2" customWidth="1"/>
    <col min="1792" max="1792" width="7.5703125" style="2" customWidth="1"/>
    <col min="1793" max="1793" width="11.140625" style="2" customWidth="1"/>
    <col min="1794" max="1794" width="10.85546875" style="2" customWidth="1"/>
    <col min="1795" max="1795" width="23.85546875" style="2" customWidth="1"/>
    <col min="1796" max="1796" width="14.7109375" style="2" customWidth="1"/>
    <col min="1797" max="1799" width="9.28515625" style="2" customWidth="1"/>
    <col min="1800" max="1800" width="7.5703125" style="2" customWidth="1"/>
    <col min="1801" max="1802" width="6.7109375" style="2" customWidth="1"/>
    <col min="1803" max="1815" width="5.7109375" style="2" customWidth="1"/>
    <col min="1816" max="2045" width="11" style="2"/>
    <col min="2046" max="2046" width="6.7109375" style="2" customWidth="1"/>
    <col min="2047" max="2047" width="9.140625" style="2" customWidth="1"/>
    <col min="2048" max="2048" width="7.5703125" style="2" customWidth="1"/>
    <col min="2049" max="2049" width="11.140625" style="2" customWidth="1"/>
    <col min="2050" max="2050" width="10.85546875" style="2" customWidth="1"/>
    <col min="2051" max="2051" width="23.85546875" style="2" customWidth="1"/>
    <col min="2052" max="2052" width="14.7109375" style="2" customWidth="1"/>
    <col min="2053" max="2055" width="9.28515625" style="2" customWidth="1"/>
    <col min="2056" max="2056" width="7.5703125" style="2" customWidth="1"/>
    <col min="2057" max="2058" width="6.7109375" style="2" customWidth="1"/>
    <col min="2059" max="2071" width="5.7109375" style="2" customWidth="1"/>
    <col min="2072" max="2301" width="11" style="2"/>
    <col min="2302" max="2302" width="6.7109375" style="2" customWidth="1"/>
    <col min="2303" max="2303" width="9.140625" style="2" customWidth="1"/>
    <col min="2304" max="2304" width="7.5703125" style="2" customWidth="1"/>
    <col min="2305" max="2305" width="11.140625" style="2" customWidth="1"/>
    <col min="2306" max="2306" width="10.85546875" style="2" customWidth="1"/>
    <col min="2307" max="2307" width="23.85546875" style="2" customWidth="1"/>
    <col min="2308" max="2308" width="14.7109375" style="2" customWidth="1"/>
    <col min="2309" max="2311" width="9.28515625" style="2" customWidth="1"/>
    <col min="2312" max="2312" width="7.5703125" style="2" customWidth="1"/>
    <col min="2313" max="2314" width="6.7109375" style="2" customWidth="1"/>
    <col min="2315" max="2327" width="5.7109375" style="2" customWidth="1"/>
    <col min="2328" max="2557" width="11" style="2"/>
    <col min="2558" max="2558" width="6.7109375" style="2" customWidth="1"/>
    <col min="2559" max="2559" width="9.140625" style="2" customWidth="1"/>
    <col min="2560" max="2560" width="7.5703125" style="2" customWidth="1"/>
    <col min="2561" max="2561" width="11.140625" style="2" customWidth="1"/>
    <col min="2562" max="2562" width="10.85546875" style="2" customWidth="1"/>
    <col min="2563" max="2563" width="23.85546875" style="2" customWidth="1"/>
    <col min="2564" max="2564" width="14.7109375" style="2" customWidth="1"/>
    <col min="2565" max="2567" width="9.28515625" style="2" customWidth="1"/>
    <col min="2568" max="2568" width="7.5703125" style="2" customWidth="1"/>
    <col min="2569" max="2570" width="6.7109375" style="2" customWidth="1"/>
    <col min="2571" max="2583" width="5.7109375" style="2" customWidth="1"/>
    <col min="2584" max="2813" width="11" style="2"/>
    <col min="2814" max="2814" width="6.7109375" style="2" customWidth="1"/>
    <col min="2815" max="2815" width="9.140625" style="2" customWidth="1"/>
    <col min="2816" max="2816" width="7.5703125" style="2" customWidth="1"/>
    <col min="2817" max="2817" width="11.140625" style="2" customWidth="1"/>
    <col min="2818" max="2818" width="10.85546875" style="2" customWidth="1"/>
    <col min="2819" max="2819" width="23.85546875" style="2" customWidth="1"/>
    <col min="2820" max="2820" width="14.7109375" style="2" customWidth="1"/>
    <col min="2821" max="2823" width="9.28515625" style="2" customWidth="1"/>
    <col min="2824" max="2824" width="7.5703125" style="2" customWidth="1"/>
    <col min="2825" max="2826" width="6.7109375" style="2" customWidth="1"/>
    <col min="2827" max="2839" width="5.7109375" style="2" customWidth="1"/>
    <col min="2840" max="3069" width="11" style="2"/>
    <col min="3070" max="3070" width="6.7109375" style="2" customWidth="1"/>
    <col min="3071" max="3071" width="9.140625" style="2" customWidth="1"/>
    <col min="3072" max="3072" width="7.5703125" style="2" customWidth="1"/>
    <col min="3073" max="3073" width="11.140625" style="2" customWidth="1"/>
    <col min="3074" max="3074" width="10.85546875" style="2" customWidth="1"/>
    <col min="3075" max="3075" width="23.85546875" style="2" customWidth="1"/>
    <col min="3076" max="3076" width="14.7109375" style="2" customWidth="1"/>
    <col min="3077" max="3079" width="9.28515625" style="2" customWidth="1"/>
    <col min="3080" max="3080" width="7.5703125" style="2" customWidth="1"/>
    <col min="3081" max="3082" width="6.7109375" style="2" customWidth="1"/>
    <col min="3083" max="3095" width="5.7109375" style="2" customWidth="1"/>
    <col min="3096" max="3325" width="11" style="2"/>
    <col min="3326" max="3326" width="6.7109375" style="2" customWidth="1"/>
    <col min="3327" max="3327" width="9.140625" style="2" customWidth="1"/>
    <col min="3328" max="3328" width="7.5703125" style="2" customWidth="1"/>
    <col min="3329" max="3329" width="11.140625" style="2" customWidth="1"/>
    <col min="3330" max="3330" width="10.85546875" style="2" customWidth="1"/>
    <col min="3331" max="3331" width="23.85546875" style="2" customWidth="1"/>
    <col min="3332" max="3332" width="14.7109375" style="2" customWidth="1"/>
    <col min="3333" max="3335" width="9.28515625" style="2" customWidth="1"/>
    <col min="3336" max="3336" width="7.5703125" style="2" customWidth="1"/>
    <col min="3337" max="3338" width="6.7109375" style="2" customWidth="1"/>
    <col min="3339" max="3351" width="5.7109375" style="2" customWidth="1"/>
    <col min="3352" max="3581" width="11" style="2"/>
    <col min="3582" max="3582" width="6.7109375" style="2" customWidth="1"/>
    <col min="3583" max="3583" width="9.140625" style="2" customWidth="1"/>
    <col min="3584" max="3584" width="7.5703125" style="2" customWidth="1"/>
    <col min="3585" max="3585" width="11.140625" style="2" customWidth="1"/>
    <col min="3586" max="3586" width="10.85546875" style="2" customWidth="1"/>
    <col min="3587" max="3587" width="23.85546875" style="2" customWidth="1"/>
    <col min="3588" max="3588" width="14.7109375" style="2" customWidth="1"/>
    <col min="3589" max="3591" width="9.28515625" style="2" customWidth="1"/>
    <col min="3592" max="3592" width="7.5703125" style="2" customWidth="1"/>
    <col min="3593" max="3594" width="6.7109375" style="2" customWidth="1"/>
    <col min="3595" max="3607" width="5.7109375" style="2" customWidth="1"/>
    <col min="3608" max="3837" width="11" style="2"/>
    <col min="3838" max="3838" width="6.7109375" style="2" customWidth="1"/>
    <col min="3839" max="3839" width="9.140625" style="2" customWidth="1"/>
    <col min="3840" max="3840" width="7.5703125" style="2" customWidth="1"/>
    <col min="3841" max="3841" width="11.140625" style="2" customWidth="1"/>
    <col min="3842" max="3842" width="10.85546875" style="2" customWidth="1"/>
    <col min="3843" max="3843" width="23.85546875" style="2" customWidth="1"/>
    <col min="3844" max="3844" width="14.7109375" style="2" customWidth="1"/>
    <col min="3845" max="3847" width="9.28515625" style="2" customWidth="1"/>
    <col min="3848" max="3848" width="7.5703125" style="2" customWidth="1"/>
    <col min="3849" max="3850" width="6.7109375" style="2" customWidth="1"/>
    <col min="3851" max="3863" width="5.7109375" style="2" customWidth="1"/>
    <col min="3864" max="4093" width="11" style="2"/>
    <col min="4094" max="4094" width="6.7109375" style="2" customWidth="1"/>
    <col min="4095" max="4095" width="9.140625" style="2" customWidth="1"/>
    <col min="4096" max="4096" width="7.5703125" style="2" customWidth="1"/>
    <col min="4097" max="4097" width="11.140625" style="2" customWidth="1"/>
    <col min="4098" max="4098" width="10.85546875" style="2" customWidth="1"/>
    <col min="4099" max="4099" width="23.85546875" style="2" customWidth="1"/>
    <col min="4100" max="4100" width="14.7109375" style="2" customWidth="1"/>
    <col min="4101" max="4103" width="9.28515625" style="2" customWidth="1"/>
    <col min="4104" max="4104" width="7.5703125" style="2" customWidth="1"/>
    <col min="4105" max="4106" width="6.7109375" style="2" customWidth="1"/>
    <col min="4107" max="4119" width="5.7109375" style="2" customWidth="1"/>
    <col min="4120" max="4349" width="11" style="2"/>
    <col min="4350" max="4350" width="6.7109375" style="2" customWidth="1"/>
    <col min="4351" max="4351" width="9.140625" style="2" customWidth="1"/>
    <col min="4352" max="4352" width="7.5703125" style="2" customWidth="1"/>
    <col min="4353" max="4353" width="11.140625" style="2" customWidth="1"/>
    <col min="4354" max="4354" width="10.85546875" style="2" customWidth="1"/>
    <col min="4355" max="4355" width="23.85546875" style="2" customWidth="1"/>
    <col min="4356" max="4356" width="14.7109375" style="2" customWidth="1"/>
    <col min="4357" max="4359" width="9.28515625" style="2" customWidth="1"/>
    <col min="4360" max="4360" width="7.5703125" style="2" customWidth="1"/>
    <col min="4361" max="4362" width="6.7109375" style="2" customWidth="1"/>
    <col min="4363" max="4375" width="5.7109375" style="2" customWidth="1"/>
    <col min="4376" max="4605" width="11" style="2"/>
    <col min="4606" max="4606" width="6.7109375" style="2" customWidth="1"/>
    <col min="4607" max="4607" width="9.140625" style="2" customWidth="1"/>
    <col min="4608" max="4608" width="7.5703125" style="2" customWidth="1"/>
    <col min="4609" max="4609" width="11.140625" style="2" customWidth="1"/>
    <col min="4610" max="4610" width="10.85546875" style="2" customWidth="1"/>
    <col min="4611" max="4611" width="23.85546875" style="2" customWidth="1"/>
    <col min="4612" max="4612" width="14.7109375" style="2" customWidth="1"/>
    <col min="4613" max="4615" width="9.28515625" style="2" customWidth="1"/>
    <col min="4616" max="4616" width="7.5703125" style="2" customWidth="1"/>
    <col min="4617" max="4618" width="6.7109375" style="2" customWidth="1"/>
    <col min="4619" max="4631" width="5.7109375" style="2" customWidth="1"/>
    <col min="4632" max="4861" width="11" style="2"/>
    <col min="4862" max="4862" width="6.7109375" style="2" customWidth="1"/>
    <col min="4863" max="4863" width="9.140625" style="2" customWidth="1"/>
    <col min="4864" max="4864" width="7.5703125" style="2" customWidth="1"/>
    <col min="4865" max="4865" width="11.140625" style="2" customWidth="1"/>
    <col min="4866" max="4866" width="10.85546875" style="2" customWidth="1"/>
    <col min="4867" max="4867" width="23.85546875" style="2" customWidth="1"/>
    <col min="4868" max="4868" width="14.7109375" style="2" customWidth="1"/>
    <col min="4869" max="4871" width="9.28515625" style="2" customWidth="1"/>
    <col min="4872" max="4872" width="7.5703125" style="2" customWidth="1"/>
    <col min="4873" max="4874" width="6.7109375" style="2" customWidth="1"/>
    <col min="4875" max="4887" width="5.7109375" style="2" customWidth="1"/>
    <col min="4888" max="5117" width="11" style="2"/>
    <col min="5118" max="5118" width="6.7109375" style="2" customWidth="1"/>
    <col min="5119" max="5119" width="9.140625" style="2" customWidth="1"/>
    <col min="5120" max="5120" width="7.5703125" style="2" customWidth="1"/>
    <col min="5121" max="5121" width="11.140625" style="2" customWidth="1"/>
    <col min="5122" max="5122" width="10.85546875" style="2" customWidth="1"/>
    <col min="5123" max="5123" width="23.85546875" style="2" customWidth="1"/>
    <col min="5124" max="5124" width="14.7109375" style="2" customWidth="1"/>
    <col min="5125" max="5127" width="9.28515625" style="2" customWidth="1"/>
    <col min="5128" max="5128" width="7.5703125" style="2" customWidth="1"/>
    <col min="5129" max="5130" width="6.7109375" style="2" customWidth="1"/>
    <col min="5131" max="5143" width="5.7109375" style="2" customWidth="1"/>
    <col min="5144" max="5373" width="11" style="2"/>
    <col min="5374" max="5374" width="6.7109375" style="2" customWidth="1"/>
    <col min="5375" max="5375" width="9.140625" style="2" customWidth="1"/>
    <col min="5376" max="5376" width="7.5703125" style="2" customWidth="1"/>
    <col min="5377" max="5377" width="11.140625" style="2" customWidth="1"/>
    <col min="5378" max="5378" width="10.85546875" style="2" customWidth="1"/>
    <col min="5379" max="5379" width="23.85546875" style="2" customWidth="1"/>
    <col min="5380" max="5380" width="14.7109375" style="2" customWidth="1"/>
    <col min="5381" max="5383" width="9.28515625" style="2" customWidth="1"/>
    <col min="5384" max="5384" width="7.5703125" style="2" customWidth="1"/>
    <col min="5385" max="5386" width="6.7109375" style="2" customWidth="1"/>
    <col min="5387" max="5399" width="5.7109375" style="2" customWidth="1"/>
    <col min="5400" max="5629" width="11" style="2"/>
    <col min="5630" max="5630" width="6.7109375" style="2" customWidth="1"/>
    <col min="5631" max="5631" width="9.140625" style="2" customWidth="1"/>
    <col min="5632" max="5632" width="7.5703125" style="2" customWidth="1"/>
    <col min="5633" max="5633" width="11.140625" style="2" customWidth="1"/>
    <col min="5634" max="5634" width="10.85546875" style="2" customWidth="1"/>
    <col min="5635" max="5635" width="23.85546875" style="2" customWidth="1"/>
    <col min="5636" max="5636" width="14.7109375" style="2" customWidth="1"/>
    <col min="5637" max="5639" width="9.28515625" style="2" customWidth="1"/>
    <col min="5640" max="5640" width="7.5703125" style="2" customWidth="1"/>
    <col min="5641" max="5642" width="6.7109375" style="2" customWidth="1"/>
    <col min="5643" max="5655" width="5.7109375" style="2" customWidth="1"/>
    <col min="5656" max="5885" width="11" style="2"/>
    <col min="5886" max="5886" width="6.7109375" style="2" customWidth="1"/>
    <col min="5887" max="5887" width="9.140625" style="2" customWidth="1"/>
    <col min="5888" max="5888" width="7.5703125" style="2" customWidth="1"/>
    <col min="5889" max="5889" width="11.140625" style="2" customWidth="1"/>
    <col min="5890" max="5890" width="10.85546875" style="2" customWidth="1"/>
    <col min="5891" max="5891" width="23.85546875" style="2" customWidth="1"/>
    <col min="5892" max="5892" width="14.7109375" style="2" customWidth="1"/>
    <col min="5893" max="5895" width="9.28515625" style="2" customWidth="1"/>
    <col min="5896" max="5896" width="7.5703125" style="2" customWidth="1"/>
    <col min="5897" max="5898" width="6.7109375" style="2" customWidth="1"/>
    <col min="5899" max="5911" width="5.7109375" style="2" customWidth="1"/>
    <col min="5912" max="6141" width="11" style="2"/>
    <col min="6142" max="6142" width="6.7109375" style="2" customWidth="1"/>
    <col min="6143" max="6143" width="9.140625" style="2" customWidth="1"/>
    <col min="6144" max="6144" width="7.5703125" style="2" customWidth="1"/>
    <col min="6145" max="6145" width="11.140625" style="2" customWidth="1"/>
    <col min="6146" max="6146" width="10.85546875" style="2" customWidth="1"/>
    <col min="6147" max="6147" width="23.85546875" style="2" customWidth="1"/>
    <col min="6148" max="6148" width="14.7109375" style="2" customWidth="1"/>
    <col min="6149" max="6151" width="9.28515625" style="2" customWidth="1"/>
    <col min="6152" max="6152" width="7.5703125" style="2" customWidth="1"/>
    <col min="6153" max="6154" width="6.7109375" style="2" customWidth="1"/>
    <col min="6155" max="6167" width="5.7109375" style="2" customWidth="1"/>
    <col min="6168" max="6397" width="11" style="2"/>
    <col min="6398" max="6398" width="6.7109375" style="2" customWidth="1"/>
    <col min="6399" max="6399" width="9.140625" style="2" customWidth="1"/>
    <col min="6400" max="6400" width="7.5703125" style="2" customWidth="1"/>
    <col min="6401" max="6401" width="11.140625" style="2" customWidth="1"/>
    <col min="6402" max="6402" width="10.85546875" style="2" customWidth="1"/>
    <col min="6403" max="6403" width="23.85546875" style="2" customWidth="1"/>
    <col min="6404" max="6404" width="14.7109375" style="2" customWidth="1"/>
    <col min="6405" max="6407" width="9.28515625" style="2" customWidth="1"/>
    <col min="6408" max="6408" width="7.5703125" style="2" customWidth="1"/>
    <col min="6409" max="6410" width="6.7109375" style="2" customWidth="1"/>
    <col min="6411" max="6423" width="5.7109375" style="2" customWidth="1"/>
    <col min="6424" max="6653" width="11" style="2"/>
    <col min="6654" max="6654" width="6.7109375" style="2" customWidth="1"/>
    <col min="6655" max="6655" width="9.140625" style="2" customWidth="1"/>
    <col min="6656" max="6656" width="7.5703125" style="2" customWidth="1"/>
    <col min="6657" max="6657" width="11.140625" style="2" customWidth="1"/>
    <col min="6658" max="6658" width="10.85546875" style="2" customWidth="1"/>
    <col min="6659" max="6659" width="23.85546875" style="2" customWidth="1"/>
    <col min="6660" max="6660" width="14.7109375" style="2" customWidth="1"/>
    <col min="6661" max="6663" width="9.28515625" style="2" customWidth="1"/>
    <col min="6664" max="6664" width="7.5703125" style="2" customWidth="1"/>
    <col min="6665" max="6666" width="6.7109375" style="2" customWidth="1"/>
    <col min="6667" max="6679" width="5.7109375" style="2" customWidth="1"/>
    <col min="6680" max="6909" width="11" style="2"/>
    <col min="6910" max="6910" width="6.7109375" style="2" customWidth="1"/>
    <col min="6911" max="6911" width="9.140625" style="2" customWidth="1"/>
    <col min="6912" max="6912" width="7.5703125" style="2" customWidth="1"/>
    <col min="6913" max="6913" width="11.140625" style="2" customWidth="1"/>
    <col min="6914" max="6914" width="10.85546875" style="2" customWidth="1"/>
    <col min="6915" max="6915" width="23.85546875" style="2" customWidth="1"/>
    <col min="6916" max="6916" width="14.7109375" style="2" customWidth="1"/>
    <col min="6917" max="6919" width="9.28515625" style="2" customWidth="1"/>
    <col min="6920" max="6920" width="7.5703125" style="2" customWidth="1"/>
    <col min="6921" max="6922" width="6.7109375" style="2" customWidth="1"/>
    <col min="6923" max="6935" width="5.7109375" style="2" customWidth="1"/>
    <col min="6936" max="7165" width="11" style="2"/>
    <col min="7166" max="7166" width="6.7109375" style="2" customWidth="1"/>
    <col min="7167" max="7167" width="9.140625" style="2" customWidth="1"/>
    <col min="7168" max="7168" width="7.5703125" style="2" customWidth="1"/>
    <col min="7169" max="7169" width="11.140625" style="2" customWidth="1"/>
    <col min="7170" max="7170" width="10.85546875" style="2" customWidth="1"/>
    <col min="7171" max="7171" width="23.85546875" style="2" customWidth="1"/>
    <col min="7172" max="7172" width="14.7109375" style="2" customWidth="1"/>
    <col min="7173" max="7175" width="9.28515625" style="2" customWidth="1"/>
    <col min="7176" max="7176" width="7.5703125" style="2" customWidth="1"/>
    <col min="7177" max="7178" width="6.7109375" style="2" customWidth="1"/>
    <col min="7179" max="7191" width="5.7109375" style="2" customWidth="1"/>
    <col min="7192" max="7421" width="11" style="2"/>
    <col min="7422" max="7422" width="6.7109375" style="2" customWidth="1"/>
    <col min="7423" max="7423" width="9.140625" style="2" customWidth="1"/>
    <col min="7424" max="7424" width="7.5703125" style="2" customWidth="1"/>
    <col min="7425" max="7425" width="11.140625" style="2" customWidth="1"/>
    <col min="7426" max="7426" width="10.85546875" style="2" customWidth="1"/>
    <col min="7427" max="7427" width="23.85546875" style="2" customWidth="1"/>
    <col min="7428" max="7428" width="14.7109375" style="2" customWidth="1"/>
    <col min="7429" max="7431" width="9.28515625" style="2" customWidth="1"/>
    <col min="7432" max="7432" width="7.5703125" style="2" customWidth="1"/>
    <col min="7433" max="7434" width="6.7109375" style="2" customWidth="1"/>
    <col min="7435" max="7447" width="5.7109375" style="2" customWidth="1"/>
    <col min="7448" max="7677" width="11" style="2"/>
    <col min="7678" max="7678" width="6.7109375" style="2" customWidth="1"/>
    <col min="7679" max="7679" width="9.140625" style="2" customWidth="1"/>
    <col min="7680" max="7680" width="7.5703125" style="2" customWidth="1"/>
    <col min="7681" max="7681" width="11.140625" style="2" customWidth="1"/>
    <col min="7682" max="7682" width="10.85546875" style="2" customWidth="1"/>
    <col min="7683" max="7683" width="23.85546875" style="2" customWidth="1"/>
    <col min="7684" max="7684" width="14.7109375" style="2" customWidth="1"/>
    <col min="7685" max="7687" width="9.28515625" style="2" customWidth="1"/>
    <col min="7688" max="7688" width="7.5703125" style="2" customWidth="1"/>
    <col min="7689" max="7690" width="6.7109375" style="2" customWidth="1"/>
    <col min="7691" max="7703" width="5.7109375" style="2" customWidth="1"/>
    <col min="7704" max="7933" width="11" style="2"/>
    <col min="7934" max="7934" width="6.7109375" style="2" customWidth="1"/>
    <col min="7935" max="7935" width="9.140625" style="2" customWidth="1"/>
    <col min="7936" max="7936" width="7.5703125" style="2" customWidth="1"/>
    <col min="7937" max="7937" width="11.140625" style="2" customWidth="1"/>
    <col min="7938" max="7938" width="10.85546875" style="2" customWidth="1"/>
    <col min="7939" max="7939" width="23.85546875" style="2" customWidth="1"/>
    <col min="7940" max="7940" width="14.7109375" style="2" customWidth="1"/>
    <col min="7941" max="7943" width="9.28515625" style="2" customWidth="1"/>
    <col min="7944" max="7944" width="7.5703125" style="2" customWidth="1"/>
    <col min="7945" max="7946" width="6.7109375" style="2" customWidth="1"/>
    <col min="7947" max="7959" width="5.7109375" style="2" customWidth="1"/>
    <col min="7960" max="8189" width="11" style="2"/>
    <col min="8190" max="8190" width="6.7109375" style="2" customWidth="1"/>
    <col min="8191" max="8191" width="9.140625" style="2" customWidth="1"/>
    <col min="8192" max="8192" width="7.5703125" style="2" customWidth="1"/>
    <col min="8193" max="8193" width="11.140625" style="2" customWidth="1"/>
    <col min="8194" max="8194" width="10.85546875" style="2" customWidth="1"/>
    <col min="8195" max="8195" width="23.85546875" style="2" customWidth="1"/>
    <col min="8196" max="8196" width="14.7109375" style="2" customWidth="1"/>
    <col min="8197" max="8199" width="9.28515625" style="2" customWidth="1"/>
    <col min="8200" max="8200" width="7.5703125" style="2" customWidth="1"/>
    <col min="8201" max="8202" width="6.7109375" style="2" customWidth="1"/>
    <col min="8203" max="8215" width="5.7109375" style="2" customWidth="1"/>
    <col min="8216" max="8445" width="11" style="2"/>
    <col min="8446" max="8446" width="6.7109375" style="2" customWidth="1"/>
    <col min="8447" max="8447" width="9.140625" style="2" customWidth="1"/>
    <col min="8448" max="8448" width="7.5703125" style="2" customWidth="1"/>
    <col min="8449" max="8449" width="11.140625" style="2" customWidth="1"/>
    <col min="8450" max="8450" width="10.85546875" style="2" customWidth="1"/>
    <col min="8451" max="8451" width="23.85546875" style="2" customWidth="1"/>
    <col min="8452" max="8452" width="14.7109375" style="2" customWidth="1"/>
    <col min="8453" max="8455" width="9.28515625" style="2" customWidth="1"/>
    <col min="8456" max="8456" width="7.5703125" style="2" customWidth="1"/>
    <col min="8457" max="8458" width="6.7109375" style="2" customWidth="1"/>
    <col min="8459" max="8471" width="5.7109375" style="2" customWidth="1"/>
    <col min="8472" max="8701" width="11" style="2"/>
    <col min="8702" max="8702" width="6.7109375" style="2" customWidth="1"/>
    <col min="8703" max="8703" width="9.140625" style="2" customWidth="1"/>
    <col min="8704" max="8704" width="7.5703125" style="2" customWidth="1"/>
    <col min="8705" max="8705" width="11.140625" style="2" customWidth="1"/>
    <col min="8706" max="8706" width="10.85546875" style="2" customWidth="1"/>
    <col min="8707" max="8707" width="23.85546875" style="2" customWidth="1"/>
    <col min="8708" max="8708" width="14.7109375" style="2" customWidth="1"/>
    <col min="8709" max="8711" width="9.28515625" style="2" customWidth="1"/>
    <col min="8712" max="8712" width="7.5703125" style="2" customWidth="1"/>
    <col min="8713" max="8714" width="6.7109375" style="2" customWidth="1"/>
    <col min="8715" max="8727" width="5.7109375" style="2" customWidth="1"/>
    <col min="8728" max="8957" width="11" style="2"/>
    <col min="8958" max="8958" width="6.7109375" style="2" customWidth="1"/>
    <col min="8959" max="8959" width="9.140625" style="2" customWidth="1"/>
    <col min="8960" max="8960" width="7.5703125" style="2" customWidth="1"/>
    <col min="8961" max="8961" width="11.140625" style="2" customWidth="1"/>
    <col min="8962" max="8962" width="10.85546875" style="2" customWidth="1"/>
    <col min="8963" max="8963" width="23.85546875" style="2" customWidth="1"/>
    <col min="8964" max="8964" width="14.7109375" style="2" customWidth="1"/>
    <col min="8965" max="8967" width="9.28515625" style="2" customWidth="1"/>
    <col min="8968" max="8968" width="7.5703125" style="2" customWidth="1"/>
    <col min="8969" max="8970" width="6.7109375" style="2" customWidth="1"/>
    <col min="8971" max="8983" width="5.7109375" style="2" customWidth="1"/>
    <col min="8984" max="9213" width="11" style="2"/>
    <col min="9214" max="9214" width="6.7109375" style="2" customWidth="1"/>
    <col min="9215" max="9215" width="9.140625" style="2" customWidth="1"/>
    <col min="9216" max="9216" width="7.5703125" style="2" customWidth="1"/>
    <col min="9217" max="9217" width="11.140625" style="2" customWidth="1"/>
    <col min="9218" max="9218" width="10.85546875" style="2" customWidth="1"/>
    <col min="9219" max="9219" width="23.85546875" style="2" customWidth="1"/>
    <col min="9220" max="9220" width="14.7109375" style="2" customWidth="1"/>
    <col min="9221" max="9223" width="9.28515625" style="2" customWidth="1"/>
    <col min="9224" max="9224" width="7.5703125" style="2" customWidth="1"/>
    <col min="9225" max="9226" width="6.7109375" style="2" customWidth="1"/>
    <col min="9227" max="9239" width="5.7109375" style="2" customWidth="1"/>
    <col min="9240" max="9469" width="11" style="2"/>
    <col min="9470" max="9470" width="6.7109375" style="2" customWidth="1"/>
    <col min="9471" max="9471" width="9.140625" style="2" customWidth="1"/>
    <col min="9472" max="9472" width="7.5703125" style="2" customWidth="1"/>
    <col min="9473" max="9473" width="11.140625" style="2" customWidth="1"/>
    <col min="9474" max="9474" width="10.85546875" style="2" customWidth="1"/>
    <col min="9475" max="9475" width="23.85546875" style="2" customWidth="1"/>
    <col min="9476" max="9476" width="14.7109375" style="2" customWidth="1"/>
    <col min="9477" max="9479" width="9.28515625" style="2" customWidth="1"/>
    <col min="9480" max="9480" width="7.5703125" style="2" customWidth="1"/>
    <col min="9481" max="9482" width="6.7109375" style="2" customWidth="1"/>
    <col min="9483" max="9495" width="5.7109375" style="2" customWidth="1"/>
    <col min="9496" max="9725" width="11" style="2"/>
    <col min="9726" max="9726" width="6.7109375" style="2" customWidth="1"/>
    <col min="9727" max="9727" width="9.140625" style="2" customWidth="1"/>
    <col min="9728" max="9728" width="7.5703125" style="2" customWidth="1"/>
    <col min="9729" max="9729" width="11.140625" style="2" customWidth="1"/>
    <col min="9730" max="9730" width="10.85546875" style="2" customWidth="1"/>
    <col min="9731" max="9731" width="23.85546875" style="2" customWidth="1"/>
    <col min="9732" max="9732" width="14.7109375" style="2" customWidth="1"/>
    <col min="9733" max="9735" width="9.28515625" style="2" customWidth="1"/>
    <col min="9736" max="9736" width="7.5703125" style="2" customWidth="1"/>
    <col min="9737" max="9738" width="6.7109375" style="2" customWidth="1"/>
    <col min="9739" max="9751" width="5.7109375" style="2" customWidth="1"/>
    <col min="9752" max="9981" width="11" style="2"/>
    <col min="9982" max="9982" width="6.7109375" style="2" customWidth="1"/>
    <col min="9983" max="9983" width="9.140625" style="2" customWidth="1"/>
    <col min="9984" max="9984" width="7.5703125" style="2" customWidth="1"/>
    <col min="9985" max="9985" width="11.140625" style="2" customWidth="1"/>
    <col min="9986" max="9986" width="10.85546875" style="2" customWidth="1"/>
    <col min="9987" max="9987" width="23.85546875" style="2" customWidth="1"/>
    <col min="9988" max="9988" width="14.7109375" style="2" customWidth="1"/>
    <col min="9989" max="9991" width="9.28515625" style="2" customWidth="1"/>
    <col min="9992" max="9992" width="7.5703125" style="2" customWidth="1"/>
    <col min="9993" max="9994" width="6.7109375" style="2" customWidth="1"/>
    <col min="9995" max="10007" width="5.7109375" style="2" customWidth="1"/>
    <col min="10008" max="10237" width="11" style="2"/>
    <col min="10238" max="10238" width="6.7109375" style="2" customWidth="1"/>
    <col min="10239" max="10239" width="9.140625" style="2" customWidth="1"/>
    <col min="10240" max="10240" width="7.5703125" style="2" customWidth="1"/>
    <col min="10241" max="10241" width="11.140625" style="2" customWidth="1"/>
    <col min="10242" max="10242" width="10.85546875" style="2" customWidth="1"/>
    <col min="10243" max="10243" width="23.85546875" style="2" customWidth="1"/>
    <col min="10244" max="10244" width="14.7109375" style="2" customWidth="1"/>
    <col min="10245" max="10247" width="9.28515625" style="2" customWidth="1"/>
    <col min="10248" max="10248" width="7.5703125" style="2" customWidth="1"/>
    <col min="10249" max="10250" width="6.7109375" style="2" customWidth="1"/>
    <col min="10251" max="10263" width="5.7109375" style="2" customWidth="1"/>
    <col min="10264" max="10493" width="11" style="2"/>
    <col min="10494" max="10494" width="6.7109375" style="2" customWidth="1"/>
    <col min="10495" max="10495" width="9.140625" style="2" customWidth="1"/>
    <col min="10496" max="10496" width="7.5703125" style="2" customWidth="1"/>
    <col min="10497" max="10497" width="11.140625" style="2" customWidth="1"/>
    <col min="10498" max="10498" width="10.85546875" style="2" customWidth="1"/>
    <col min="10499" max="10499" width="23.85546875" style="2" customWidth="1"/>
    <col min="10500" max="10500" width="14.7109375" style="2" customWidth="1"/>
    <col min="10501" max="10503" width="9.28515625" style="2" customWidth="1"/>
    <col min="10504" max="10504" width="7.5703125" style="2" customWidth="1"/>
    <col min="10505" max="10506" width="6.7109375" style="2" customWidth="1"/>
    <col min="10507" max="10519" width="5.7109375" style="2" customWidth="1"/>
    <col min="10520" max="10749" width="11" style="2"/>
    <col min="10750" max="10750" width="6.7109375" style="2" customWidth="1"/>
    <col min="10751" max="10751" width="9.140625" style="2" customWidth="1"/>
    <col min="10752" max="10752" width="7.5703125" style="2" customWidth="1"/>
    <col min="10753" max="10753" width="11.140625" style="2" customWidth="1"/>
    <col min="10754" max="10754" width="10.85546875" style="2" customWidth="1"/>
    <col min="10755" max="10755" width="23.85546875" style="2" customWidth="1"/>
    <col min="10756" max="10756" width="14.7109375" style="2" customWidth="1"/>
    <col min="10757" max="10759" width="9.28515625" style="2" customWidth="1"/>
    <col min="10760" max="10760" width="7.5703125" style="2" customWidth="1"/>
    <col min="10761" max="10762" width="6.7109375" style="2" customWidth="1"/>
    <col min="10763" max="10775" width="5.7109375" style="2" customWidth="1"/>
    <col min="10776" max="11005" width="11" style="2"/>
    <col min="11006" max="11006" width="6.7109375" style="2" customWidth="1"/>
    <col min="11007" max="11007" width="9.140625" style="2" customWidth="1"/>
    <col min="11008" max="11008" width="7.5703125" style="2" customWidth="1"/>
    <col min="11009" max="11009" width="11.140625" style="2" customWidth="1"/>
    <col min="11010" max="11010" width="10.85546875" style="2" customWidth="1"/>
    <col min="11011" max="11011" width="23.85546875" style="2" customWidth="1"/>
    <col min="11012" max="11012" width="14.7109375" style="2" customWidth="1"/>
    <col min="11013" max="11015" width="9.28515625" style="2" customWidth="1"/>
    <col min="11016" max="11016" width="7.5703125" style="2" customWidth="1"/>
    <col min="11017" max="11018" width="6.7109375" style="2" customWidth="1"/>
    <col min="11019" max="11031" width="5.7109375" style="2" customWidth="1"/>
    <col min="11032" max="11261" width="11" style="2"/>
    <col min="11262" max="11262" width="6.7109375" style="2" customWidth="1"/>
    <col min="11263" max="11263" width="9.140625" style="2" customWidth="1"/>
    <col min="11264" max="11264" width="7.5703125" style="2" customWidth="1"/>
    <col min="11265" max="11265" width="11.140625" style="2" customWidth="1"/>
    <col min="11266" max="11266" width="10.85546875" style="2" customWidth="1"/>
    <col min="11267" max="11267" width="23.85546875" style="2" customWidth="1"/>
    <col min="11268" max="11268" width="14.7109375" style="2" customWidth="1"/>
    <col min="11269" max="11271" width="9.28515625" style="2" customWidth="1"/>
    <col min="11272" max="11272" width="7.5703125" style="2" customWidth="1"/>
    <col min="11273" max="11274" width="6.7109375" style="2" customWidth="1"/>
    <col min="11275" max="11287" width="5.7109375" style="2" customWidth="1"/>
    <col min="11288" max="11517" width="11" style="2"/>
    <col min="11518" max="11518" width="6.7109375" style="2" customWidth="1"/>
    <col min="11519" max="11519" width="9.140625" style="2" customWidth="1"/>
    <col min="11520" max="11520" width="7.5703125" style="2" customWidth="1"/>
    <col min="11521" max="11521" width="11.140625" style="2" customWidth="1"/>
    <col min="11522" max="11522" width="10.85546875" style="2" customWidth="1"/>
    <col min="11523" max="11523" width="23.85546875" style="2" customWidth="1"/>
    <col min="11524" max="11524" width="14.7109375" style="2" customWidth="1"/>
    <col min="11525" max="11527" width="9.28515625" style="2" customWidth="1"/>
    <col min="11528" max="11528" width="7.5703125" style="2" customWidth="1"/>
    <col min="11529" max="11530" width="6.7109375" style="2" customWidth="1"/>
    <col min="11531" max="11543" width="5.7109375" style="2" customWidth="1"/>
    <col min="11544" max="11773" width="11" style="2"/>
    <col min="11774" max="11774" width="6.7109375" style="2" customWidth="1"/>
    <col min="11775" max="11775" width="9.140625" style="2" customWidth="1"/>
    <col min="11776" max="11776" width="7.5703125" style="2" customWidth="1"/>
    <col min="11777" max="11777" width="11.140625" style="2" customWidth="1"/>
    <col min="11778" max="11778" width="10.85546875" style="2" customWidth="1"/>
    <col min="11779" max="11779" width="23.85546875" style="2" customWidth="1"/>
    <col min="11780" max="11780" width="14.7109375" style="2" customWidth="1"/>
    <col min="11781" max="11783" width="9.28515625" style="2" customWidth="1"/>
    <col min="11784" max="11784" width="7.5703125" style="2" customWidth="1"/>
    <col min="11785" max="11786" width="6.7109375" style="2" customWidth="1"/>
    <col min="11787" max="11799" width="5.7109375" style="2" customWidth="1"/>
    <col min="11800" max="12029" width="11" style="2"/>
    <col min="12030" max="12030" width="6.7109375" style="2" customWidth="1"/>
    <col min="12031" max="12031" width="9.140625" style="2" customWidth="1"/>
    <col min="12032" max="12032" width="7.5703125" style="2" customWidth="1"/>
    <col min="12033" max="12033" width="11.140625" style="2" customWidth="1"/>
    <col min="12034" max="12034" width="10.85546875" style="2" customWidth="1"/>
    <col min="12035" max="12035" width="23.85546875" style="2" customWidth="1"/>
    <col min="12036" max="12036" width="14.7109375" style="2" customWidth="1"/>
    <col min="12037" max="12039" width="9.28515625" style="2" customWidth="1"/>
    <col min="12040" max="12040" width="7.5703125" style="2" customWidth="1"/>
    <col min="12041" max="12042" width="6.7109375" style="2" customWidth="1"/>
    <col min="12043" max="12055" width="5.7109375" style="2" customWidth="1"/>
    <col min="12056" max="12285" width="11" style="2"/>
    <col min="12286" max="12286" width="6.7109375" style="2" customWidth="1"/>
    <col min="12287" max="12287" width="9.140625" style="2" customWidth="1"/>
    <col min="12288" max="12288" width="7.5703125" style="2" customWidth="1"/>
    <col min="12289" max="12289" width="11.140625" style="2" customWidth="1"/>
    <col min="12290" max="12290" width="10.85546875" style="2" customWidth="1"/>
    <col min="12291" max="12291" width="23.85546875" style="2" customWidth="1"/>
    <col min="12292" max="12292" width="14.7109375" style="2" customWidth="1"/>
    <col min="12293" max="12295" width="9.28515625" style="2" customWidth="1"/>
    <col min="12296" max="12296" width="7.5703125" style="2" customWidth="1"/>
    <col min="12297" max="12298" width="6.7109375" style="2" customWidth="1"/>
    <col min="12299" max="12311" width="5.7109375" style="2" customWidth="1"/>
    <col min="12312" max="12541" width="11" style="2"/>
    <col min="12542" max="12542" width="6.7109375" style="2" customWidth="1"/>
    <col min="12543" max="12543" width="9.140625" style="2" customWidth="1"/>
    <col min="12544" max="12544" width="7.5703125" style="2" customWidth="1"/>
    <col min="12545" max="12545" width="11.140625" style="2" customWidth="1"/>
    <col min="12546" max="12546" width="10.85546875" style="2" customWidth="1"/>
    <col min="12547" max="12547" width="23.85546875" style="2" customWidth="1"/>
    <col min="12548" max="12548" width="14.7109375" style="2" customWidth="1"/>
    <col min="12549" max="12551" width="9.28515625" style="2" customWidth="1"/>
    <col min="12552" max="12552" width="7.5703125" style="2" customWidth="1"/>
    <col min="12553" max="12554" width="6.7109375" style="2" customWidth="1"/>
    <col min="12555" max="12567" width="5.7109375" style="2" customWidth="1"/>
    <col min="12568" max="12797" width="11" style="2"/>
    <col min="12798" max="12798" width="6.7109375" style="2" customWidth="1"/>
    <col min="12799" max="12799" width="9.140625" style="2" customWidth="1"/>
    <col min="12800" max="12800" width="7.5703125" style="2" customWidth="1"/>
    <col min="12801" max="12801" width="11.140625" style="2" customWidth="1"/>
    <col min="12802" max="12802" width="10.85546875" style="2" customWidth="1"/>
    <col min="12803" max="12803" width="23.85546875" style="2" customWidth="1"/>
    <col min="12804" max="12804" width="14.7109375" style="2" customWidth="1"/>
    <col min="12805" max="12807" width="9.28515625" style="2" customWidth="1"/>
    <col min="12808" max="12808" width="7.5703125" style="2" customWidth="1"/>
    <col min="12809" max="12810" width="6.7109375" style="2" customWidth="1"/>
    <col min="12811" max="12823" width="5.7109375" style="2" customWidth="1"/>
    <col min="12824" max="13053" width="11" style="2"/>
    <col min="13054" max="13054" width="6.7109375" style="2" customWidth="1"/>
    <col min="13055" max="13055" width="9.140625" style="2" customWidth="1"/>
    <col min="13056" max="13056" width="7.5703125" style="2" customWidth="1"/>
    <col min="13057" max="13057" width="11.140625" style="2" customWidth="1"/>
    <col min="13058" max="13058" width="10.85546875" style="2" customWidth="1"/>
    <col min="13059" max="13059" width="23.85546875" style="2" customWidth="1"/>
    <col min="13060" max="13060" width="14.7109375" style="2" customWidth="1"/>
    <col min="13061" max="13063" width="9.28515625" style="2" customWidth="1"/>
    <col min="13064" max="13064" width="7.5703125" style="2" customWidth="1"/>
    <col min="13065" max="13066" width="6.7109375" style="2" customWidth="1"/>
    <col min="13067" max="13079" width="5.7109375" style="2" customWidth="1"/>
    <col min="13080" max="13309" width="11" style="2"/>
    <col min="13310" max="13310" width="6.7109375" style="2" customWidth="1"/>
    <col min="13311" max="13311" width="9.140625" style="2" customWidth="1"/>
    <col min="13312" max="13312" width="7.5703125" style="2" customWidth="1"/>
    <col min="13313" max="13313" width="11.140625" style="2" customWidth="1"/>
    <col min="13314" max="13314" width="10.85546875" style="2" customWidth="1"/>
    <col min="13315" max="13315" width="23.85546875" style="2" customWidth="1"/>
    <col min="13316" max="13316" width="14.7109375" style="2" customWidth="1"/>
    <col min="13317" max="13319" width="9.28515625" style="2" customWidth="1"/>
    <col min="13320" max="13320" width="7.5703125" style="2" customWidth="1"/>
    <col min="13321" max="13322" width="6.7109375" style="2" customWidth="1"/>
    <col min="13323" max="13335" width="5.7109375" style="2" customWidth="1"/>
    <col min="13336" max="13565" width="11" style="2"/>
    <col min="13566" max="13566" width="6.7109375" style="2" customWidth="1"/>
    <col min="13567" max="13567" width="9.140625" style="2" customWidth="1"/>
    <col min="13568" max="13568" width="7.5703125" style="2" customWidth="1"/>
    <col min="13569" max="13569" width="11.140625" style="2" customWidth="1"/>
    <col min="13570" max="13570" width="10.85546875" style="2" customWidth="1"/>
    <col min="13571" max="13571" width="23.85546875" style="2" customWidth="1"/>
    <col min="13572" max="13572" width="14.7109375" style="2" customWidth="1"/>
    <col min="13573" max="13575" width="9.28515625" style="2" customWidth="1"/>
    <col min="13576" max="13576" width="7.5703125" style="2" customWidth="1"/>
    <col min="13577" max="13578" width="6.7109375" style="2" customWidth="1"/>
    <col min="13579" max="13591" width="5.7109375" style="2" customWidth="1"/>
    <col min="13592" max="13821" width="11" style="2"/>
    <col min="13822" max="13822" width="6.7109375" style="2" customWidth="1"/>
    <col min="13823" max="13823" width="9.140625" style="2" customWidth="1"/>
    <col min="13824" max="13824" width="7.5703125" style="2" customWidth="1"/>
    <col min="13825" max="13825" width="11.140625" style="2" customWidth="1"/>
    <col min="13826" max="13826" width="10.85546875" style="2" customWidth="1"/>
    <col min="13827" max="13827" width="23.85546875" style="2" customWidth="1"/>
    <col min="13828" max="13828" width="14.7109375" style="2" customWidth="1"/>
    <col min="13829" max="13831" width="9.28515625" style="2" customWidth="1"/>
    <col min="13832" max="13832" width="7.5703125" style="2" customWidth="1"/>
    <col min="13833" max="13834" width="6.7109375" style="2" customWidth="1"/>
    <col min="13835" max="13847" width="5.7109375" style="2" customWidth="1"/>
    <col min="13848" max="14077" width="11" style="2"/>
    <col min="14078" max="14078" width="6.7109375" style="2" customWidth="1"/>
    <col min="14079" max="14079" width="9.140625" style="2" customWidth="1"/>
    <col min="14080" max="14080" width="7.5703125" style="2" customWidth="1"/>
    <col min="14081" max="14081" width="11.140625" style="2" customWidth="1"/>
    <col min="14082" max="14082" width="10.85546875" style="2" customWidth="1"/>
    <col min="14083" max="14083" width="23.85546875" style="2" customWidth="1"/>
    <col min="14084" max="14084" width="14.7109375" style="2" customWidth="1"/>
    <col min="14085" max="14087" width="9.28515625" style="2" customWidth="1"/>
    <col min="14088" max="14088" width="7.5703125" style="2" customWidth="1"/>
    <col min="14089" max="14090" width="6.7109375" style="2" customWidth="1"/>
    <col min="14091" max="14103" width="5.7109375" style="2" customWidth="1"/>
    <col min="14104" max="14333" width="11" style="2"/>
    <col min="14334" max="14334" width="6.7109375" style="2" customWidth="1"/>
    <col min="14335" max="14335" width="9.140625" style="2" customWidth="1"/>
    <col min="14336" max="14336" width="7.5703125" style="2" customWidth="1"/>
    <col min="14337" max="14337" width="11.140625" style="2" customWidth="1"/>
    <col min="14338" max="14338" width="10.85546875" style="2" customWidth="1"/>
    <col min="14339" max="14339" width="23.85546875" style="2" customWidth="1"/>
    <col min="14340" max="14340" width="14.7109375" style="2" customWidth="1"/>
    <col min="14341" max="14343" width="9.28515625" style="2" customWidth="1"/>
    <col min="14344" max="14344" width="7.5703125" style="2" customWidth="1"/>
    <col min="14345" max="14346" width="6.7109375" style="2" customWidth="1"/>
    <col min="14347" max="14359" width="5.7109375" style="2" customWidth="1"/>
    <col min="14360" max="14589" width="11" style="2"/>
    <col min="14590" max="14590" width="6.7109375" style="2" customWidth="1"/>
    <col min="14591" max="14591" width="9.140625" style="2" customWidth="1"/>
    <col min="14592" max="14592" width="7.5703125" style="2" customWidth="1"/>
    <col min="14593" max="14593" width="11.140625" style="2" customWidth="1"/>
    <col min="14594" max="14594" width="10.85546875" style="2" customWidth="1"/>
    <col min="14595" max="14595" width="23.85546875" style="2" customWidth="1"/>
    <col min="14596" max="14596" width="14.7109375" style="2" customWidth="1"/>
    <col min="14597" max="14599" width="9.28515625" style="2" customWidth="1"/>
    <col min="14600" max="14600" width="7.5703125" style="2" customWidth="1"/>
    <col min="14601" max="14602" width="6.7109375" style="2" customWidth="1"/>
    <col min="14603" max="14615" width="5.7109375" style="2" customWidth="1"/>
    <col min="14616" max="14845" width="11" style="2"/>
    <col min="14846" max="14846" width="6.7109375" style="2" customWidth="1"/>
    <col min="14847" max="14847" width="9.140625" style="2" customWidth="1"/>
    <col min="14848" max="14848" width="7.5703125" style="2" customWidth="1"/>
    <col min="14849" max="14849" width="11.140625" style="2" customWidth="1"/>
    <col min="14850" max="14850" width="10.85546875" style="2" customWidth="1"/>
    <col min="14851" max="14851" width="23.85546875" style="2" customWidth="1"/>
    <col min="14852" max="14852" width="14.7109375" style="2" customWidth="1"/>
    <col min="14853" max="14855" width="9.28515625" style="2" customWidth="1"/>
    <col min="14856" max="14856" width="7.5703125" style="2" customWidth="1"/>
    <col min="14857" max="14858" width="6.7109375" style="2" customWidth="1"/>
    <col min="14859" max="14871" width="5.7109375" style="2" customWidth="1"/>
    <col min="14872" max="15101" width="11" style="2"/>
    <col min="15102" max="15102" width="6.7109375" style="2" customWidth="1"/>
    <col min="15103" max="15103" width="9.140625" style="2" customWidth="1"/>
    <col min="15104" max="15104" width="7.5703125" style="2" customWidth="1"/>
    <col min="15105" max="15105" width="11.140625" style="2" customWidth="1"/>
    <col min="15106" max="15106" width="10.85546875" style="2" customWidth="1"/>
    <col min="15107" max="15107" width="23.85546875" style="2" customWidth="1"/>
    <col min="15108" max="15108" width="14.7109375" style="2" customWidth="1"/>
    <col min="15109" max="15111" width="9.28515625" style="2" customWidth="1"/>
    <col min="15112" max="15112" width="7.5703125" style="2" customWidth="1"/>
    <col min="15113" max="15114" width="6.7109375" style="2" customWidth="1"/>
    <col min="15115" max="15127" width="5.7109375" style="2" customWidth="1"/>
    <col min="15128" max="15357" width="11" style="2"/>
    <col min="15358" max="15358" width="6.7109375" style="2" customWidth="1"/>
    <col min="15359" max="15359" width="9.140625" style="2" customWidth="1"/>
    <col min="15360" max="15360" width="7.5703125" style="2" customWidth="1"/>
    <col min="15361" max="15361" width="11.140625" style="2" customWidth="1"/>
    <col min="15362" max="15362" width="10.85546875" style="2" customWidth="1"/>
    <col min="15363" max="15363" width="23.85546875" style="2" customWidth="1"/>
    <col min="15364" max="15364" width="14.7109375" style="2" customWidth="1"/>
    <col min="15365" max="15367" width="9.28515625" style="2" customWidth="1"/>
    <col min="15368" max="15368" width="7.5703125" style="2" customWidth="1"/>
    <col min="15369" max="15370" width="6.7109375" style="2" customWidth="1"/>
    <col min="15371" max="15383" width="5.7109375" style="2" customWidth="1"/>
    <col min="15384" max="15613" width="11" style="2"/>
    <col min="15614" max="15614" width="6.7109375" style="2" customWidth="1"/>
    <col min="15615" max="15615" width="9.140625" style="2" customWidth="1"/>
    <col min="15616" max="15616" width="7.5703125" style="2" customWidth="1"/>
    <col min="15617" max="15617" width="11.140625" style="2" customWidth="1"/>
    <col min="15618" max="15618" width="10.85546875" style="2" customWidth="1"/>
    <col min="15619" max="15619" width="23.85546875" style="2" customWidth="1"/>
    <col min="15620" max="15620" width="14.7109375" style="2" customWidth="1"/>
    <col min="15621" max="15623" width="9.28515625" style="2" customWidth="1"/>
    <col min="15624" max="15624" width="7.5703125" style="2" customWidth="1"/>
    <col min="15625" max="15626" width="6.7109375" style="2" customWidth="1"/>
    <col min="15627" max="15639" width="5.7109375" style="2" customWidth="1"/>
    <col min="15640" max="15869" width="11" style="2"/>
    <col min="15870" max="15870" width="6.7109375" style="2" customWidth="1"/>
    <col min="15871" max="15871" width="9.140625" style="2" customWidth="1"/>
    <col min="15872" max="15872" width="7.5703125" style="2" customWidth="1"/>
    <col min="15873" max="15873" width="11.140625" style="2" customWidth="1"/>
    <col min="15874" max="15874" width="10.85546875" style="2" customWidth="1"/>
    <col min="15875" max="15875" width="23.85546875" style="2" customWidth="1"/>
    <col min="15876" max="15876" width="14.7109375" style="2" customWidth="1"/>
    <col min="15877" max="15879" width="9.28515625" style="2" customWidth="1"/>
    <col min="15880" max="15880" width="7.5703125" style="2" customWidth="1"/>
    <col min="15881" max="15882" width="6.7109375" style="2" customWidth="1"/>
    <col min="15883" max="15895" width="5.7109375" style="2" customWidth="1"/>
    <col min="15896" max="16125" width="11" style="2"/>
    <col min="16126" max="16126" width="6.7109375" style="2" customWidth="1"/>
    <col min="16127" max="16127" width="9.140625" style="2" customWidth="1"/>
    <col min="16128" max="16128" width="7.5703125" style="2" customWidth="1"/>
    <col min="16129" max="16129" width="11.140625" style="2" customWidth="1"/>
    <col min="16130" max="16130" width="10.85546875" style="2" customWidth="1"/>
    <col min="16131" max="16131" width="23.85546875" style="2" customWidth="1"/>
    <col min="16132" max="16132" width="14.7109375" style="2" customWidth="1"/>
    <col min="16133" max="16135" width="9.28515625" style="2" customWidth="1"/>
    <col min="16136" max="16136" width="7.5703125" style="2" customWidth="1"/>
    <col min="16137" max="16138" width="6.7109375" style="2" customWidth="1"/>
    <col min="16139" max="16151" width="5.7109375" style="2" customWidth="1"/>
    <col min="16152" max="16384" width="11" style="2"/>
  </cols>
  <sheetData>
    <row r="1" spans="1:23" ht="63.6" customHeight="1" thickBot="1" x14ac:dyDescent="0.25">
      <c r="A1" s="1"/>
      <c r="B1" s="54"/>
      <c r="C1" s="55"/>
      <c r="D1" s="56" t="s">
        <v>59</v>
      </c>
      <c r="E1" s="57"/>
      <c r="F1" s="57"/>
      <c r="G1" s="57"/>
      <c r="H1" s="57"/>
      <c r="I1" s="57"/>
      <c r="J1" s="57"/>
      <c r="K1" s="57"/>
      <c r="L1" s="5" t="s">
        <v>1</v>
      </c>
      <c r="M1" s="6" t="s">
        <v>2</v>
      </c>
      <c r="N1" s="5" t="s">
        <v>3</v>
      </c>
      <c r="O1" s="6" t="s">
        <v>4</v>
      </c>
      <c r="P1" s="6" t="s">
        <v>5</v>
      </c>
      <c r="Q1" s="5" t="s">
        <v>6</v>
      </c>
      <c r="R1" s="6" t="s">
        <v>7</v>
      </c>
      <c r="S1" s="5" t="s">
        <v>8</v>
      </c>
      <c r="T1" s="6" t="s">
        <v>9</v>
      </c>
      <c r="U1" s="5" t="s">
        <v>10</v>
      </c>
      <c r="V1" s="6" t="s">
        <v>11</v>
      </c>
      <c r="W1" s="5" t="s">
        <v>12</v>
      </c>
    </row>
    <row r="2" spans="1:23" ht="37.5" customHeight="1" thickBot="1" x14ac:dyDescent="0.3">
      <c r="A2" s="58" t="s">
        <v>13</v>
      </c>
      <c r="B2" s="59" t="s">
        <v>14</v>
      </c>
      <c r="C2" s="60"/>
      <c r="D2" s="59" t="s">
        <v>15</v>
      </c>
      <c r="E2" s="61"/>
      <c r="F2" s="61"/>
      <c r="G2" s="61"/>
      <c r="H2" s="61"/>
      <c r="I2" s="61"/>
      <c r="J2" s="61"/>
      <c r="K2" s="61"/>
      <c r="L2" s="5"/>
      <c r="M2" s="6"/>
      <c r="N2" s="5"/>
      <c r="O2" s="6"/>
      <c r="P2" s="6"/>
      <c r="Q2" s="5"/>
      <c r="R2" s="6"/>
      <c r="S2" s="5"/>
      <c r="T2" s="6"/>
      <c r="U2" s="5"/>
      <c r="V2" s="6"/>
      <c r="W2" s="5"/>
    </row>
    <row r="3" spans="1:23" s="62" customFormat="1" ht="28.15" customHeight="1" thickBot="1" x14ac:dyDescent="0.25">
      <c r="A3" s="33">
        <v>1</v>
      </c>
      <c r="B3" s="63" t="s">
        <v>60</v>
      </c>
      <c r="C3" s="63"/>
      <c r="D3" s="64" t="s">
        <v>61</v>
      </c>
      <c r="E3" s="65"/>
      <c r="F3" s="65"/>
      <c r="G3" s="65"/>
      <c r="H3" s="66"/>
      <c r="I3" s="66"/>
      <c r="J3" s="66"/>
      <c r="K3" s="66"/>
      <c r="L3" s="67" t="s">
        <v>18</v>
      </c>
      <c r="M3" s="67" t="s">
        <v>21</v>
      </c>
      <c r="N3" s="67" t="s">
        <v>21</v>
      </c>
      <c r="O3" s="67" t="s">
        <v>18</v>
      </c>
      <c r="P3" s="67" t="s">
        <v>18</v>
      </c>
      <c r="Q3" s="67" t="s">
        <v>21</v>
      </c>
      <c r="R3" s="67" t="s">
        <v>18</v>
      </c>
      <c r="S3" s="67" t="s">
        <v>18</v>
      </c>
      <c r="T3" s="67" t="s">
        <v>21</v>
      </c>
      <c r="U3" s="67" t="s">
        <v>25</v>
      </c>
      <c r="V3" s="67" t="s">
        <v>18</v>
      </c>
      <c r="W3" s="67" t="s">
        <v>21</v>
      </c>
    </row>
    <row r="4" spans="1:23" s="62" customFormat="1" ht="28.15" customHeight="1" thickBot="1" x14ac:dyDescent="0.25">
      <c r="A4" s="33">
        <v>2</v>
      </c>
      <c r="B4" s="63" t="s">
        <v>60</v>
      </c>
      <c r="C4" s="63"/>
      <c r="D4" s="64" t="s">
        <v>62</v>
      </c>
      <c r="E4" s="65"/>
      <c r="F4" s="65"/>
      <c r="G4" s="65"/>
      <c r="H4" s="66"/>
      <c r="I4" s="66"/>
      <c r="J4" s="66"/>
      <c r="K4" s="66"/>
      <c r="L4" s="67" t="s">
        <v>18</v>
      </c>
      <c r="M4" s="67" t="s">
        <v>21</v>
      </c>
      <c r="N4" s="67" t="s">
        <v>21</v>
      </c>
      <c r="O4" s="67" t="s">
        <v>21</v>
      </c>
      <c r="P4" s="67" t="s">
        <v>18</v>
      </c>
      <c r="Q4" s="67" t="s">
        <v>21</v>
      </c>
      <c r="R4" s="67" t="s">
        <v>21</v>
      </c>
      <c r="S4" s="67" t="s">
        <v>21</v>
      </c>
      <c r="T4" s="67" t="s">
        <v>21</v>
      </c>
      <c r="U4" s="67" t="s">
        <v>18</v>
      </c>
      <c r="V4" s="67" t="s">
        <v>25</v>
      </c>
      <c r="W4" s="67" t="s">
        <v>21</v>
      </c>
    </row>
    <row r="5" spans="1:23" s="62" customFormat="1" ht="28.15" customHeight="1" thickBot="1" x14ac:dyDescent="0.25">
      <c r="A5" s="33">
        <v>3</v>
      </c>
      <c r="B5" s="63" t="s">
        <v>63</v>
      </c>
      <c r="C5" s="63"/>
      <c r="D5" s="64" t="s">
        <v>64</v>
      </c>
      <c r="E5" s="65"/>
      <c r="F5" s="65"/>
      <c r="G5" s="65"/>
      <c r="H5" s="66"/>
      <c r="I5" s="66"/>
      <c r="J5" s="66"/>
      <c r="K5" s="66"/>
      <c r="L5" s="67" t="s">
        <v>18</v>
      </c>
      <c r="M5" s="67" t="s">
        <v>25</v>
      </c>
      <c r="N5" s="67" t="s">
        <v>21</v>
      </c>
      <c r="O5" s="67" t="s">
        <v>21</v>
      </c>
      <c r="P5" s="67" t="s">
        <v>21</v>
      </c>
      <c r="Q5" s="67" t="s">
        <v>21</v>
      </c>
      <c r="R5" s="67" t="s">
        <v>21</v>
      </c>
      <c r="S5" s="67" t="s">
        <v>26</v>
      </c>
      <c r="T5" s="67" t="s">
        <v>21</v>
      </c>
      <c r="U5" s="67" t="s">
        <v>18</v>
      </c>
      <c r="V5" s="67" t="s">
        <v>18</v>
      </c>
      <c r="W5" s="67" t="s">
        <v>21</v>
      </c>
    </row>
    <row r="6" spans="1:23" s="62" customFormat="1" ht="28.15" customHeight="1" thickBot="1" x14ac:dyDescent="0.25">
      <c r="A6" s="33">
        <v>4</v>
      </c>
      <c r="B6" s="63" t="s">
        <v>63</v>
      </c>
      <c r="C6" s="63"/>
      <c r="D6" s="64" t="s">
        <v>65</v>
      </c>
      <c r="E6" s="65"/>
      <c r="F6" s="65"/>
      <c r="G6" s="65"/>
      <c r="H6" s="66"/>
      <c r="I6" s="66"/>
      <c r="J6" s="66"/>
      <c r="K6" s="66"/>
      <c r="L6" s="67" t="s">
        <v>25</v>
      </c>
      <c r="M6" s="67" t="s">
        <v>18</v>
      </c>
      <c r="N6" s="67" t="s">
        <v>18</v>
      </c>
      <c r="O6" s="67" t="s">
        <v>18</v>
      </c>
      <c r="P6" s="67" t="s">
        <v>18</v>
      </c>
      <c r="Q6" s="67" t="s">
        <v>25</v>
      </c>
      <c r="R6" s="67" t="s">
        <v>18</v>
      </c>
      <c r="S6" s="67" t="s">
        <v>25</v>
      </c>
      <c r="T6" s="67" t="s">
        <v>18</v>
      </c>
      <c r="U6" s="67" t="s">
        <v>18</v>
      </c>
      <c r="V6" s="67" t="s">
        <v>18</v>
      </c>
      <c r="W6" s="67" t="s">
        <v>18</v>
      </c>
    </row>
    <row r="7" spans="1:23" s="62" customFormat="1" ht="28.15" customHeight="1" thickBot="1" x14ac:dyDescent="0.25">
      <c r="A7" s="33">
        <v>5</v>
      </c>
      <c r="B7" s="63" t="s">
        <v>63</v>
      </c>
      <c r="C7" s="63"/>
      <c r="D7" s="64" t="s">
        <v>66</v>
      </c>
      <c r="E7" s="65"/>
      <c r="F7" s="65"/>
      <c r="G7" s="65"/>
      <c r="H7" s="66"/>
      <c r="I7" s="66"/>
      <c r="J7" s="66"/>
      <c r="K7" s="66"/>
      <c r="L7" s="67" t="s">
        <v>18</v>
      </c>
      <c r="M7" s="67" t="s">
        <v>18</v>
      </c>
      <c r="N7" s="67" t="s">
        <v>21</v>
      </c>
      <c r="O7" s="67" t="s">
        <v>25</v>
      </c>
      <c r="P7" s="67" t="s">
        <v>18</v>
      </c>
      <c r="Q7" s="67" t="s">
        <v>18</v>
      </c>
      <c r="R7" s="67" t="s">
        <v>18</v>
      </c>
      <c r="S7" s="67" t="s">
        <v>18</v>
      </c>
      <c r="T7" s="67" t="s">
        <v>18</v>
      </c>
      <c r="U7" s="67" t="s">
        <v>21</v>
      </c>
      <c r="V7" s="67" t="s">
        <v>21</v>
      </c>
      <c r="W7" s="67" t="s">
        <v>21</v>
      </c>
    </row>
    <row r="8" spans="1:23" s="62" customFormat="1" ht="32.450000000000003" customHeight="1" thickBot="1" x14ac:dyDescent="0.25">
      <c r="A8" s="33">
        <v>6</v>
      </c>
      <c r="B8" s="68" t="s">
        <v>63</v>
      </c>
      <c r="C8" s="68"/>
      <c r="D8" s="69" t="s">
        <v>67</v>
      </c>
      <c r="E8" s="69"/>
      <c r="F8" s="69"/>
      <c r="G8" s="69"/>
      <c r="H8" s="70"/>
      <c r="I8" s="70"/>
      <c r="J8" s="70"/>
      <c r="K8" s="70"/>
      <c r="L8" s="67" t="s">
        <v>18</v>
      </c>
      <c r="M8" s="67" t="s">
        <v>21</v>
      </c>
      <c r="N8" s="67" t="s">
        <v>26</v>
      </c>
      <c r="O8" s="67" t="s">
        <v>25</v>
      </c>
      <c r="P8" s="67" t="s">
        <v>21</v>
      </c>
      <c r="Q8" s="67" t="s">
        <v>18</v>
      </c>
      <c r="R8" s="67" t="s">
        <v>18</v>
      </c>
      <c r="S8" s="67" t="s">
        <v>21</v>
      </c>
      <c r="T8" s="67" t="s">
        <v>18</v>
      </c>
      <c r="U8" s="67" t="s">
        <v>21</v>
      </c>
      <c r="V8" s="67" t="s">
        <v>21</v>
      </c>
      <c r="W8" s="67" t="s">
        <v>21</v>
      </c>
    </row>
    <row r="9" spans="1:23" s="62" customFormat="1" ht="24.95" customHeight="1" thickBot="1" x14ac:dyDescent="0.25">
      <c r="A9" s="33">
        <v>7</v>
      </c>
      <c r="B9" s="71" t="s">
        <v>68</v>
      </c>
      <c r="C9" s="71"/>
      <c r="D9" s="72" t="s">
        <v>69</v>
      </c>
      <c r="E9" s="72"/>
      <c r="F9" s="72"/>
      <c r="G9" s="72"/>
      <c r="H9" s="73"/>
      <c r="I9" s="73"/>
      <c r="J9" s="73"/>
      <c r="K9" s="73"/>
      <c r="L9" s="67" t="s">
        <v>18</v>
      </c>
      <c r="M9" s="67" t="s">
        <v>18</v>
      </c>
      <c r="N9" s="67" t="s">
        <v>18</v>
      </c>
      <c r="O9" s="67" t="s">
        <v>18</v>
      </c>
      <c r="P9" s="67" t="s">
        <v>18</v>
      </c>
      <c r="Q9" s="67" t="s">
        <v>18</v>
      </c>
      <c r="R9" s="67" t="s">
        <v>18</v>
      </c>
      <c r="S9" s="67" t="s">
        <v>18</v>
      </c>
      <c r="T9" s="67" t="s">
        <v>18</v>
      </c>
      <c r="U9" s="67" t="s">
        <v>18</v>
      </c>
      <c r="V9" s="67" t="s">
        <v>18</v>
      </c>
      <c r="W9" s="67" t="s">
        <v>21</v>
      </c>
    </row>
    <row r="10" spans="1:23" s="62" customFormat="1" ht="24.95" customHeight="1" thickBot="1" x14ac:dyDescent="0.25">
      <c r="A10" s="33">
        <v>8</v>
      </c>
      <c r="B10" s="74" t="s">
        <v>70</v>
      </c>
      <c r="C10" s="74"/>
      <c r="D10" s="65" t="s">
        <v>71</v>
      </c>
      <c r="E10" s="65"/>
      <c r="F10" s="65"/>
      <c r="G10" s="65"/>
      <c r="H10" s="66"/>
      <c r="I10" s="66"/>
      <c r="J10" s="66"/>
      <c r="K10" s="66"/>
      <c r="L10" s="67" t="s">
        <v>18</v>
      </c>
      <c r="M10" s="67" t="s">
        <v>18</v>
      </c>
      <c r="N10" s="67" t="s">
        <v>18</v>
      </c>
      <c r="O10" s="67" t="s">
        <v>25</v>
      </c>
      <c r="P10" s="67" t="s">
        <v>18</v>
      </c>
      <c r="Q10" s="67" t="s">
        <v>18</v>
      </c>
      <c r="R10" s="67" t="s">
        <v>18</v>
      </c>
      <c r="S10" s="67" t="s">
        <v>18</v>
      </c>
      <c r="T10" s="67" t="s">
        <v>25</v>
      </c>
      <c r="U10" s="67" t="s">
        <v>18</v>
      </c>
      <c r="V10" s="67" t="s">
        <v>18</v>
      </c>
      <c r="W10" s="67" t="s">
        <v>21</v>
      </c>
    </row>
    <row r="11" spans="1:23" s="62" customFormat="1" ht="24.95" customHeight="1" thickBot="1" x14ac:dyDescent="0.25">
      <c r="A11" s="33">
        <v>9</v>
      </c>
      <c r="B11" s="75" t="s">
        <v>72</v>
      </c>
      <c r="C11" s="75"/>
      <c r="D11" s="76" t="s">
        <v>73</v>
      </c>
      <c r="E11" s="76"/>
      <c r="F11" s="76"/>
      <c r="G11" s="76"/>
      <c r="H11" s="77"/>
      <c r="I11" s="77"/>
      <c r="J11" s="77"/>
      <c r="K11" s="77"/>
      <c r="L11" s="67" t="s">
        <v>25</v>
      </c>
      <c r="M11" s="67" t="s">
        <v>18</v>
      </c>
      <c r="N11" s="67" t="s">
        <v>18</v>
      </c>
      <c r="O11" s="67" t="s">
        <v>25</v>
      </c>
      <c r="P11" s="67" t="s">
        <v>18</v>
      </c>
      <c r="Q11" s="67" t="s">
        <v>18</v>
      </c>
      <c r="R11" s="67" t="s">
        <v>18</v>
      </c>
      <c r="S11" s="67" t="s">
        <v>18</v>
      </c>
      <c r="T11" s="67" t="s">
        <v>18</v>
      </c>
      <c r="U11" s="67" t="s">
        <v>18</v>
      </c>
      <c r="V11" s="67" t="s">
        <v>18</v>
      </c>
      <c r="W11" s="67" t="s">
        <v>21</v>
      </c>
    </row>
    <row r="12" spans="1:23" s="62" customFormat="1" ht="24.95" customHeight="1" thickBot="1" x14ac:dyDescent="0.25">
      <c r="A12" s="33">
        <v>10</v>
      </c>
      <c r="B12" s="75" t="s">
        <v>72</v>
      </c>
      <c r="C12" s="75"/>
      <c r="D12" s="76" t="s">
        <v>74</v>
      </c>
      <c r="E12" s="76"/>
      <c r="F12" s="76"/>
      <c r="G12" s="76"/>
      <c r="H12" s="77"/>
      <c r="I12" s="77"/>
      <c r="J12" s="77"/>
      <c r="K12" s="77"/>
      <c r="L12" s="67" t="s">
        <v>18</v>
      </c>
      <c r="M12" s="67" t="s">
        <v>18</v>
      </c>
      <c r="N12" s="67" t="s">
        <v>21</v>
      </c>
      <c r="O12" s="67" t="s">
        <v>21</v>
      </c>
      <c r="P12" s="67" t="s">
        <v>18</v>
      </c>
      <c r="Q12" s="67" t="s">
        <v>18</v>
      </c>
      <c r="R12" s="67" t="s">
        <v>18</v>
      </c>
      <c r="S12" s="67" t="s">
        <v>21</v>
      </c>
      <c r="T12" s="67" t="s">
        <v>21</v>
      </c>
      <c r="U12" s="67" t="s">
        <v>21</v>
      </c>
      <c r="V12" s="67" t="s">
        <v>18</v>
      </c>
      <c r="W12" s="67" t="s">
        <v>21</v>
      </c>
    </row>
    <row r="13" spans="1:23" s="62" customFormat="1" ht="24.95" customHeight="1" thickBot="1" x14ac:dyDescent="0.25">
      <c r="A13" s="33">
        <v>11</v>
      </c>
      <c r="B13" s="75" t="s">
        <v>72</v>
      </c>
      <c r="C13" s="75"/>
      <c r="D13" s="76" t="s">
        <v>75</v>
      </c>
      <c r="E13" s="76"/>
      <c r="F13" s="76"/>
      <c r="G13" s="76"/>
      <c r="H13" s="77"/>
      <c r="I13" s="77"/>
      <c r="J13" s="77"/>
      <c r="K13" s="77"/>
      <c r="L13" s="67" t="s">
        <v>18</v>
      </c>
      <c r="M13" s="67" t="s">
        <v>18</v>
      </c>
      <c r="N13" s="78" t="s">
        <v>21</v>
      </c>
      <c r="O13" s="78" t="s">
        <v>21</v>
      </c>
      <c r="P13" s="67" t="s">
        <v>21</v>
      </c>
      <c r="Q13" s="78" t="s">
        <v>21</v>
      </c>
      <c r="R13" s="78" t="s">
        <v>21</v>
      </c>
      <c r="S13" s="78" t="s">
        <v>21</v>
      </c>
      <c r="T13" s="78" t="s">
        <v>21</v>
      </c>
      <c r="U13" s="67" t="s">
        <v>18</v>
      </c>
      <c r="V13" s="67" t="s">
        <v>25</v>
      </c>
      <c r="W13" s="67" t="s">
        <v>21</v>
      </c>
    </row>
    <row r="14" spans="1:23" s="62" customFormat="1" ht="24.95" customHeight="1" thickBot="1" x14ac:dyDescent="0.25">
      <c r="A14" s="33">
        <v>12</v>
      </c>
      <c r="B14" s="75" t="s">
        <v>76</v>
      </c>
      <c r="C14" s="75"/>
      <c r="D14" s="76" t="s">
        <v>77</v>
      </c>
      <c r="E14" s="76"/>
      <c r="F14" s="76"/>
      <c r="G14" s="76"/>
      <c r="H14" s="77"/>
      <c r="I14" s="77"/>
      <c r="J14" s="77"/>
      <c r="K14" s="77"/>
      <c r="L14" s="78" t="s">
        <v>25</v>
      </c>
      <c r="M14" s="78" t="s">
        <v>25</v>
      </c>
      <c r="N14" s="67" t="s">
        <v>21</v>
      </c>
      <c r="O14" s="78" t="s">
        <v>21</v>
      </c>
      <c r="P14" s="67" t="s">
        <v>21</v>
      </c>
      <c r="Q14" s="78" t="s">
        <v>21</v>
      </c>
      <c r="R14" s="78" t="s">
        <v>21</v>
      </c>
      <c r="S14" s="78" t="s">
        <v>25</v>
      </c>
      <c r="T14" s="78" t="s">
        <v>21</v>
      </c>
      <c r="U14" s="78" t="s">
        <v>18</v>
      </c>
      <c r="V14" s="78" t="s">
        <v>18</v>
      </c>
      <c r="W14" s="78" t="s">
        <v>21</v>
      </c>
    </row>
    <row r="15" spans="1:23" s="62" customFormat="1" ht="24.95" customHeight="1" thickBot="1" x14ac:dyDescent="0.25">
      <c r="A15" s="33">
        <v>13</v>
      </c>
      <c r="B15" s="75" t="s">
        <v>78</v>
      </c>
      <c r="C15" s="75"/>
      <c r="D15" s="76" t="s">
        <v>79</v>
      </c>
      <c r="E15" s="76"/>
      <c r="F15" s="76"/>
      <c r="G15" s="76"/>
      <c r="H15" s="77"/>
      <c r="I15" s="77"/>
      <c r="J15" s="77"/>
      <c r="K15" s="77"/>
      <c r="L15" s="78" t="s">
        <v>18</v>
      </c>
      <c r="M15" s="78" t="s">
        <v>18</v>
      </c>
      <c r="N15" s="78" t="s">
        <v>18</v>
      </c>
      <c r="O15" s="67" t="s">
        <v>18</v>
      </c>
      <c r="P15" s="67" t="s">
        <v>18</v>
      </c>
      <c r="Q15" s="78" t="s">
        <v>18</v>
      </c>
      <c r="R15" s="67" t="s">
        <v>18</v>
      </c>
      <c r="S15" s="78" t="s">
        <v>18</v>
      </c>
      <c r="T15" s="67" t="s">
        <v>18</v>
      </c>
      <c r="U15" s="67" t="s">
        <v>18</v>
      </c>
      <c r="V15" s="78" t="s">
        <v>18</v>
      </c>
      <c r="W15" s="78" t="s">
        <v>18</v>
      </c>
    </row>
    <row r="16" spans="1:23" s="62" customFormat="1" ht="24.95" customHeight="1" thickBot="1" x14ac:dyDescent="0.25">
      <c r="A16" s="33">
        <v>14</v>
      </c>
      <c r="B16" s="75" t="s">
        <v>80</v>
      </c>
      <c r="C16" s="75"/>
      <c r="D16" s="76" t="s">
        <v>81</v>
      </c>
      <c r="E16" s="76"/>
      <c r="F16" s="76"/>
      <c r="G16" s="76"/>
      <c r="H16" s="77"/>
      <c r="I16" s="77"/>
      <c r="J16" s="77"/>
      <c r="K16" s="77"/>
      <c r="L16" s="78" t="s">
        <v>21</v>
      </c>
      <c r="M16" s="78" t="s">
        <v>21</v>
      </c>
      <c r="N16" s="78" t="s">
        <v>18</v>
      </c>
      <c r="O16" s="78" t="s">
        <v>18</v>
      </c>
      <c r="P16" s="67" t="s">
        <v>21</v>
      </c>
      <c r="Q16" s="78" t="s">
        <v>21</v>
      </c>
      <c r="R16" s="78" t="s">
        <v>21</v>
      </c>
      <c r="S16" s="78" t="s">
        <v>18</v>
      </c>
      <c r="T16" s="78" t="s">
        <v>18</v>
      </c>
      <c r="U16" s="78" t="s">
        <v>18</v>
      </c>
      <c r="V16" s="67" t="s">
        <v>18</v>
      </c>
      <c r="W16" s="67" t="s">
        <v>21</v>
      </c>
    </row>
    <row r="17" spans="1:23" s="62" customFormat="1" ht="24.95" customHeight="1" thickBot="1" x14ac:dyDescent="0.25">
      <c r="A17" s="33">
        <v>15</v>
      </c>
      <c r="B17" s="63" t="s">
        <v>82</v>
      </c>
      <c r="C17" s="63"/>
      <c r="D17" s="79" t="s">
        <v>83</v>
      </c>
      <c r="E17" s="80"/>
      <c r="F17" s="80"/>
      <c r="G17" s="80"/>
      <c r="H17" s="81"/>
      <c r="I17" s="81"/>
      <c r="J17" s="81"/>
      <c r="K17" s="81"/>
      <c r="L17" s="67" t="s">
        <v>21</v>
      </c>
      <c r="M17" s="67" t="s">
        <v>21</v>
      </c>
      <c r="N17" s="67" t="s">
        <v>21</v>
      </c>
      <c r="O17" s="67" t="s">
        <v>21</v>
      </c>
      <c r="P17" s="67" t="s">
        <v>21</v>
      </c>
      <c r="Q17" s="67" t="s">
        <v>21</v>
      </c>
      <c r="R17" s="67" t="s">
        <v>21</v>
      </c>
      <c r="S17" s="67" t="s">
        <v>21</v>
      </c>
      <c r="T17" s="67" t="s">
        <v>21</v>
      </c>
      <c r="U17" s="67" t="s">
        <v>18</v>
      </c>
      <c r="V17" s="67" t="s">
        <v>21</v>
      </c>
      <c r="W17" s="67" t="s">
        <v>21</v>
      </c>
    </row>
    <row r="18" spans="1:23" s="62" customFormat="1" ht="24.95" customHeight="1" thickBot="1" x14ac:dyDescent="0.25">
      <c r="A18" s="33">
        <v>16</v>
      </c>
      <c r="B18" s="63" t="s">
        <v>82</v>
      </c>
      <c r="C18" s="63"/>
      <c r="D18" s="79" t="s">
        <v>84</v>
      </c>
      <c r="E18" s="80"/>
      <c r="F18" s="80"/>
      <c r="G18" s="80"/>
      <c r="H18" s="81"/>
      <c r="I18" s="81"/>
      <c r="J18" s="81"/>
      <c r="K18" s="81"/>
      <c r="L18" s="67" t="s">
        <v>21</v>
      </c>
      <c r="M18" s="67" t="s">
        <v>21</v>
      </c>
      <c r="N18" s="67" t="s">
        <v>21</v>
      </c>
      <c r="O18" s="67" t="s">
        <v>21</v>
      </c>
      <c r="P18" s="67" t="s">
        <v>21</v>
      </c>
      <c r="Q18" s="67" t="s">
        <v>21</v>
      </c>
      <c r="R18" s="67" t="s">
        <v>21</v>
      </c>
      <c r="S18" s="67" t="s">
        <v>21</v>
      </c>
      <c r="T18" s="67" t="s">
        <v>21</v>
      </c>
      <c r="U18" s="67" t="s">
        <v>18</v>
      </c>
      <c r="V18" s="67" t="s">
        <v>21</v>
      </c>
      <c r="W18" s="67" t="s">
        <v>21</v>
      </c>
    </row>
    <row r="19" spans="1:23" s="62" customFormat="1" ht="24.95" customHeight="1" thickBot="1" x14ac:dyDescent="0.25">
      <c r="A19" s="33">
        <v>17</v>
      </c>
      <c r="B19" s="63" t="s">
        <v>82</v>
      </c>
      <c r="C19" s="63"/>
      <c r="D19" s="79" t="s">
        <v>85</v>
      </c>
      <c r="E19" s="80"/>
      <c r="F19" s="80"/>
      <c r="G19" s="80"/>
      <c r="H19" s="81"/>
      <c r="I19" s="81"/>
      <c r="J19" s="81"/>
      <c r="K19" s="81"/>
      <c r="L19" s="67" t="s">
        <v>21</v>
      </c>
      <c r="M19" s="67" t="s">
        <v>21</v>
      </c>
      <c r="N19" s="67" t="s">
        <v>21</v>
      </c>
      <c r="O19" s="67" t="s">
        <v>21</v>
      </c>
      <c r="P19" s="67" t="s">
        <v>21</v>
      </c>
      <c r="Q19" s="67" t="s">
        <v>21</v>
      </c>
      <c r="R19" s="67" t="s">
        <v>21</v>
      </c>
      <c r="S19" s="67" t="s">
        <v>21</v>
      </c>
      <c r="T19" s="67" t="s">
        <v>21</v>
      </c>
      <c r="U19" s="67" t="s">
        <v>18</v>
      </c>
      <c r="V19" s="67" t="s">
        <v>21</v>
      </c>
      <c r="W19" s="67" t="s">
        <v>21</v>
      </c>
    </row>
    <row r="20" spans="1:23" s="62" customFormat="1" ht="24.95" customHeight="1" thickBot="1" x14ac:dyDescent="0.25">
      <c r="A20" s="33">
        <v>18</v>
      </c>
      <c r="B20" s="63" t="s">
        <v>86</v>
      </c>
      <c r="C20" s="63"/>
      <c r="D20" s="79" t="s">
        <v>87</v>
      </c>
      <c r="E20" s="80"/>
      <c r="F20" s="80"/>
      <c r="G20" s="80"/>
      <c r="H20" s="81"/>
      <c r="I20" s="81"/>
      <c r="J20" s="81"/>
      <c r="K20" s="81"/>
      <c r="L20" s="67" t="s">
        <v>18</v>
      </c>
      <c r="M20" s="67" t="s">
        <v>18</v>
      </c>
      <c r="N20" s="67" t="s">
        <v>18</v>
      </c>
      <c r="O20" s="67" t="s">
        <v>18</v>
      </c>
      <c r="P20" s="67" t="s">
        <v>18</v>
      </c>
      <c r="Q20" s="67" t="s">
        <v>18</v>
      </c>
      <c r="R20" s="67" t="s">
        <v>18</v>
      </c>
      <c r="S20" s="67" t="s">
        <v>18</v>
      </c>
      <c r="T20" s="67" t="s">
        <v>18</v>
      </c>
      <c r="U20" s="67" t="s">
        <v>18</v>
      </c>
      <c r="V20" s="67" t="s">
        <v>18</v>
      </c>
      <c r="W20" s="67" t="s">
        <v>25</v>
      </c>
    </row>
    <row r="21" spans="1:23" s="62" customFormat="1" ht="24.95" customHeight="1" thickBot="1" x14ac:dyDescent="0.25">
      <c r="A21" s="33">
        <v>19</v>
      </c>
      <c r="B21" s="63" t="s">
        <v>86</v>
      </c>
      <c r="C21" s="63"/>
      <c r="D21" s="64" t="s">
        <v>88</v>
      </c>
      <c r="E21" s="65"/>
      <c r="F21" s="65"/>
      <c r="G21" s="65"/>
      <c r="H21" s="66"/>
      <c r="I21" s="66"/>
      <c r="J21" s="66"/>
      <c r="K21" s="66"/>
      <c r="L21" s="67" t="s">
        <v>18</v>
      </c>
      <c r="M21" s="67" t="s">
        <v>18</v>
      </c>
      <c r="N21" s="67" t="s">
        <v>18</v>
      </c>
      <c r="O21" s="67" t="s">
        <v>18</v>
      </c>
      <c r="P21" s="67" t="s">
        <v>18</v>
      </c>
      <c r="Q21" s="67" t="s">
        <v>18</v>
      </c>
      <c r="R21" s="67" t="s">
        <v>18</v>
      </c>
      <c r="S21" s="67" t="s">
        <v>25</v>
      </c>
      <c r="T21" s="67" t="s">
        <v>18</v>
      </c>
      <c r="U21" s="67" t="s">
        <v>18</v>
      </c>
      <c r="V21" s="67" t="s">
        <v>18</v>
      </c>
      <c r="W21" s="67" t="s">
        <v>18</v>
      </c>
    </row>
    <row r="22" spans="1:23" s="62" customFormat="1" ht="24.95" customHeight="1" thickBot="1" x14ac:dyDescent="0.25">
      <c r="A22" s="33">
        <v>20</v>
      </c>
      <c r="B22" s="63" t="s">
        <v>86</v>
      </c>
      <c r="C22" s="63"/>
      <c r="D22" s="64" t="s">
        <v>89</v>
      </c>
      <c r="E22" s="65"/>
      <c r="F22" s="65"/>
      <c r="G22" s="65"/>
      <c r="H22" s="66"/>
      <c r="I22" s="66"/>
      <c r="J22" s="66"/>
      <c r="K22" s="66"/>
      <c r="L22" s="67" t="s">
        <v>25</v>
      </c>
      <c r="M22" s="67" t="s">
        <v>25</v>
      </c>
      <c r="N22" s="67" t="s">
        <v>25</v>
      </c>
      <c r="O22" s="67" t="s">
        <v>25</v>
      </c>
      <c r="P22" s="67" t="s">
        <v>25</v>
      </c>
      <c r="Q22" s="67" t="s">
        <v>25</v>
      </c>
      <c r="R22" s="67" t="s">
        <v>25</v>
      </c>
      <c r="S22" s="67" t="s">
        <v>25</v>
      </c>
      <c r="T22" s="67" t="s">
        <v>25</v>
      </c>
      <c r="U22" s="67" t="s">
        <v>25</v>
      </c>
      <c r="V22" s="67" t="s">
        <v>25</v>
      </c>
      <c r="W22" s="67" t="s">
        <v>25</v>
      </c>
    </row>
    <row r="23" spans="1:23" s="62" customFormat="1" ht="24.95" customHeight="1" thickBot="1" x14ac:dyDescent="0.25">
      <c r="A23" s="33">
        <v>21</v>
      </c>
      <c r="B23" s="63" t="s">
        <v>86</v>
      </c>
      <c r="C23" s="63"/>
      <c r="D23" s="64" t="s">
        <v>90</v>
      </c>
      <c r="E23" s="65"/>
      <c r="F23" s="65"/>
      <c r="G23" s="65"/>
      <c r="H23" s="66"/>
      <c r="I23" s="66"/>
      <c r="J23" s="66"/>
      <c r="K23" s="66"/>
      <c r="L23" s="67" t="s">
        <v>18</v>
      </c>
      <c r="M23" s="67" t="s">
        <v>21</v>
      </c>
      <c r="N23" s="67" t="s">
        <v>21</v>
      </c>
      <c r="O23" s="67" t="s">
        <v>21</v>
      </c>
      <c r="P23" s="67" t="s">
        <v>18</v>
      </c>
      <c r="Q23" s="67" t="s">
        <v>18</v>
      </c>
      <c r="R23" s="67" t="s">
        <v>21</v>
      </c>
      <c r="S23" s="67" t="s">
        <v>21</v>
      </c>
      <c r="T23" s="67" t="s">
        <v>18</v>
      </c>
      <c r="U23" s="67" t="s">
        <v>21</v>
      </c>
      <c r="V23" s="67" t="s">
        <v>18</v>
      </c>
      <c r="W23" s="67" t="s">
        <v>18</v>
      </c>
    </row>
    <row r="24" spans="1:23" s="62" customFormat="1" ht="24.95" customHeight="1" thickBot="1" x14ac:dyDescent="0.25">
      <c r="A24" s="33">
        <v>22</v>
      </c>
      <c r="B24" s="63" t="s">
        <v>86</v>
      </c>
      <c r="C24" s="63"/>
      <c r="D24" s="64" t="s">
        <v>91</v>
      </c>
      <c r="E24" s="65"/>
      <c r="F24" s="65"/>
      <c r="G24" s="65"/>
      <c r="H24" s="66"/>
      <c r="I24" s="66"/>
      <c r="J24" s="66"/>
      <c r="K24" s="66"/>
      <c r="L24" s="67" t="s">
        <v>25</v>
      </c>
      <c r="M24" s="67" t="s">
        <v>21</v>
      </c>
      <c r="N24" s="67" t="s">
        <v>18</v>
      </c>
      <c r="O24" s="67" t="s">
        <v>18</v>
      </c>
      <c r="P24" s="67" t="s">
        <v>18</v>
      </c>
      <c r="Q24" s="67" t="s">
        <v>18</v>
      </c>
      <c r="R24" s="67" t="s">
        <v>21</v>
      </c>
      <c r="S24" s="67" t="s">
        <v>21</v>
      </c>
      <c r="T24" s="67" t="s">
        <v>21</v>
      </c>
      <c r="U24" s="67" t="s">
        <v>18</v>
      </c>
      <c r="V24" s="67" t="s">
        <v>18</v>
      </c>
      <c r="W24" s="67" t="s">
        <v>18</v>
      </c>
    </row>
    <row r="25" spans="1:23" s="62" customFormat="1" ht="24.95" customHeight="1" thickBot="1" x14ac:dyDescent="0.25">
      <c r="A25" s="33">
        <v>23</v>
      </c>
      <c r="B25" s="63" t="s">
        <v>86</v>
      </c>
      <c r="C25" s="63"/>
      <c r="D25" s="64" t="s">
        <v>92</v>
      </c>
      <c r="E25" s="65"/>
      <c r="F25" s="65"/>
      <c r="G25" s="65"/>
      <c r="H25" s="66"/>
      <c r="I25" s="66"/>
      <c r="J25" s="66"/>
      <c r="K25" s="66"/>
      <c r="L25" s="67" t="s">
        <v>18</v>
      </c>
      <c r="M25" s="67" t="s">
        <v>21</v>
      </c>
      <c r="N25" s="67" t="s">
        <v>18</v>
      </c>
      <c r="O25" s="67" t="s">
        <v>25</v>
      </c>
      <c r="P25" s="67" t="s">
        <v>18</v>
      </c>
      <c r="Q25" s="67" t="s">
        <v>25</v>
      </c>
      <c r="R25" s="67" t="s">
        <v>21</v>
      </c>
      <c r="S25" s="67" t="s">
        <v>21</v>
      </c>
      <c r="T25" s="67" t="s">
        <v>21</v>
      </c>
      <c r="U25" s="67" t="s">
        <v>18</v>
      </c>
      <c r="V25" s="67" t="s">
        <v>25</v>
      </c>
      <c r="W25" s="67" t="s">
        <v>18</v>
      </c>
    </row>
    <row r="26" spans="1:23" s="62" customFormat="1" ht="24.95" customHeight="1" thickBot="1" x14ac:dyDescent="0.25">
      <c r="A26" s="33">
        <v>24</v>
      </c>
      <c r="B26" s="63" t="s">
        <v>86</v>
      </c>
      <c r="C26" s="63"/>
      <c r="D26" s="64" t="s">
        <v>93</v>
      </c>
      <c r="E26" s="65"/>
      <c r="F26" s="65"/>
      <c r="G26" s="65"/>
      <c r="H26" s="66"/>
      <c r="I26" s="66"/>
      <c r="J26" s="66"/>
      <c r="K26" s="66"/>
      <c r="L26" s="67" t="s">
        <v>18</v>
      </c>
      <c r="M26" s="67" t="s">
        <v>21</v>
      </c>
      <c r="N26" s="67" t="s">
        <v>18</v>
      </c>
      <c r="O26" s="67" t="s">
        <v>18</v>
      </c>
      <c r="P26" s="67" t="s">
        <v>18</v>
      </c>
      <c r="Q26" s="67" t="s">
        <v>18</v>
      </c>
      <c r="R26" s="67" t="s">
        <v>21</v>
      </c>
      <c r="S26" s="67" t="s">
        <v>21</v>
      </c>
      <c r="T26" s="67" t="s">
        <v>21</v>
      </c>
      <c r="U26" s="67" t="s">
        <v>18</v>
      </c>
      <c r="V26" s="67" t="s">
        <v>18</v>
      </c>
      <c r="W26" s="67" t="s">
        <v>18</v>
      </c>
    </row>
    <row r="27" spans="1:23" s="62" customFormat="1" ht="48" customHeight="1" thickBot="1" x14ac:dyDescent="0.25">
      <c r="A27" s="33">
        <v>25</v>
      </c>
      <c r="B27" s="63" t="s">
        <v>86</v>
      </c>
      <c r="C27" s="63"/>
      <c r="D27" s="64" t="s">
        <v>94</v>
      </c>
      <c r="E27" s="65"/>
      <c r="F27" s="65"/>
      <c r="G27" s="65"/>
      <c r="H27" s="66"/>
      <c r="I27" s="66"/>
      <c r="J27" s="66"/>
      <c r="K27" s="66"/>
      <c r="L27" s="67" t="s">
        <v>18</v>
      </c>
      <c r="M27" s="67" t="s">
        <v>21</v>
      </c>
      <c r="N27" s="67" t="s">
        <v>18</v>
      </c>
      <c r="O27" s="67" t="s">
        <v>18</v>
      </c>
      <c r="P27" s="67" t="s">
        <v>18</v>
      </c>
      <c r="Q27" s="67" t="s">
        <v>18</v>
      </c>
      <c r="R27" s="82" t="s">
        <v>21</v>
      </c>
      <c r="S27" s="67" t="s">
        <v>21</v>
      </c>
      <c r="T27" s="67" t="s">
        <v>21</v>
      </c>
      <c r="U27" s="67" t="s">
        <v>18</v>
      </c>
      <c r="V27" s="67" t="s">
        <v>18</v>
      </c>
      <c r="W27" s="67" t="s">
        <v>18</v>
      </c>
    </row>
    <row r="28" spans="1:23" s="62" customFormat="1" ht="50.25" customHeight="1" thickBot="1" x14ac:dyDescent="0.25">
      <c r="A28" s="33">
        <v>26</v>
      </c>
      <c r="B28" s="63" t="s">
        <v>86</v>
      </c>
      <c r="C28" s="63"/>
      <c r="D28" s="64" t="s">
        <v>95</v>
      </c>
      <c r="E28" s="65"/>
      <c r="F28" s="65"/>
      <c r="G28" s="65"/>
      <c r="H28" s="66"/>
      <c r="I28" s="66"/>
      <c r="J28" s="66"/>
      <c r="K28" s="66"/>
      <c r="L28" s="67" t="s">
        <v>96</v>
      </c>
      <c r="M28" s="67" t="s">
        <v>21</v>
      </c>
      <c r="N28" s="67" t="s">
        <v>18</v>
      </c>
      <c r="O28" s="67" t="s">
        <v>18</v>
      </c>
      <c r="P28" s="67" t="s">
        <v>18</v>
      </c>
      <c r="Q28" s="67" t="s">
        <v>18</v>
      </c>
      <c r="R28" s="67" t="s">
        <v>21</v>
      </c>
      <c r="S28" s="67" t="s">
        <v>21</v>
      </c>
      <c r="T28" s="67" t="s">
        <v>21</v>
      </c>
      <c r="U28" s="67" t="s">
        <v>18</v>
      </c>
      <c r="V28" s="67" t="s">
        <v>18</v>
      </c>
      <c r="W28" s="67" t="s">
        <v>18</v>
      </c>
    </row>
    <row r="29" spans="1:23" s="62" customFormat="1" ht="50.25" customHeight="1" thickBot="1" x14ac:dyDescent="0.25">
      <c r="A29" s="33">
        <v>27</v>
      </c>
      <c r="B29" s="63" t="s">
        <v>86</v>
      </c>
      <c r="C29" s="63"/>
      <c r="D29" s="65" t="s">
        <v>97</v>
      </c>
      <c r="E29" s="65"/>
      <c r="F29" s="65"/>
      <c r="G29" s="65"/>
      <c r="H29" s="66"/>
      <c r="I29" s="66"/>
      <c r="J29" s="66"/>
      <c r="K29" s="66"/>
      <c r="L29" s="67" t="s">
        <v>18</v>
      </c>
      <c r="M29" s="67" t="s">
        <v>21</v>
      </c>
      <c r="N29" s="67" t="s">
        <v>18</v>
      </c>
      <c r="O29" s="67" t="s">
        <v>18</v>
      </c>
      <c r="P29" s="67" t="s">
        <v>18</v>
      </c>
      <c r="Q29" s="67" t="s">
        <v>18</v>
      </c>
      <c r="R29" s="67" t="s">
        <v>21</v>
      </c>
      <c r="S29" s="67" t="s">
        <v>21</v>
      </c>
      <c r="T29" s="67" t="s">
        <v>18</v>
      </c>
      <c r="U29" s="67" t="s">
        <v>18</v>
      </c>
      <c r="V29" s="67" t="s">
        <v>18</v>
      </c>
      <c r="W29" s="67" t="s">
        <v>18</v>
      </c>
    </row>
    <row r="30" spans="1:23" s="62" customFormat="1" ht="50.25" customHeight="1" thickBot="1" x14ac:dyDescent="0.25">
      <c r="A30" s="33">
        <v>28</v>
      </c>
      <c r="B30" s="63" t="s">
        <v>86</v>
      </c>
      <c r="C30" s="63"/>
      <c r="D30" s="65" t="s">
        <v>98</v>
      </c>
      <c r="E30" s="65"/>
      <c r="F30" s="65"/>
      <c r="G30" s="65"/>
      <c r="H30" s="66"/>
      <c r="I30" s="66"/>
      <c r="J30" s="66"/>
      <c r="K30" s="66"/>
      <c r="L30" s="67" t="s">
        <v>21</v>
      </c>
      <c r="M30" s="67" t="s">
        <v>21</v>
      </c>
      <c r="N30" s="67" t="s">
        <v>21</v>
      </c>
      <c r="O30" s="67" t="s">
        <v>21</v>
      </c>
      <c r="P30" s="67" t="s">
        <v>21</v>
      </c>
      <c r="Q30" s="67" t="s">
        <v>21</v>
      </c>
      <c r="R30" s="67" t="s">
        <v>21</v>
      </c>
      <c r="S30" s="67" t="s">
        <v>21</v>
      </c>
      <c r="T30" s="67" t="s">
        <v>21</v>
      </c>
      <c r="U30" s="67" t="s">
        <v>18</v>
      </c>
      <c r="V30" s="67" t="s">
        <v>21</v>
      </c>
      <c r="W30" s="67" t="s">
        <v>21</v>
      </c>
    </row>
    <row r="31" spans="1:23" s="62" customFormat="1" ht="50.25" customHeight="1" thickBot="1" x14ac:dyDescent="0.25">
      <c r="A31" s="33">
        <v>29</v>
      </c>
      <c r="B31" s="63" t="s">
        <v>86</v>
      </c>
      <c r="C31" s="63"/>
      <c r="D31" s="65" t="s">
        <v>99</v>
      </c>
      <c r="E31" s="65"/>
      <c r="F31" s="65"/>
      <c r="G31" s="65"/>
      <c r="H31" s="66"/>
      <c r="I31" s="66"/>
      <c r="J31" s="66"/>
      <c r="K31" s="66"/>
      <c r="L31" s="67" t="s">
        <v>25</v>
      </c>
      <c r="M31" s="67" t="s">
        <v>21</v>
      </c>
      <c r="N31" s="67" t="s">
        <v>25</v>
      </c>
      <c r="O31" s="67" t="s">
        <v>25</v>
      </c>
      <c r="P31" s="67" t="s">
        <v>25</v>
      </c>
      <c r="Q31" s="67" t="s">
        <v>25</v>
      </c>
      <c r="R31" s="67" t="s">
        <v>21</v>
      </c>
      <c r="S31" s="67" t="s">
        <v>21</v>
      </c>
      <c r="T31" s="67" t="s">
        <v>21</v>
      </c>
      <c r="U31" s="67" t="s">
        <v>25</v>
      </c>
      <c r="V31" s="67" t="s">
        <v>21</v>
      </c>
      <c r="W31" s="67" t="s">
        <v>25</v>
      </c>
    </row>
    <row r="32" spans="1:23" s="62" customFormat="1" ht="50.25" customHeight="1" thickBot="1" x14ac:dyDescent="0.25">
      <c r="A32" s="33">
        <v>30</v>
      </c>
      <c r="B32" s="63" t="s">
        <v>86</v>
      </c>
      <c r="C32" s="63"/>
      <c r="D32" s="65" t="s">
        <v>100</v>
      </c>
      <c r="E32" s="65"/>
      <c r="F32" s="65"/>
      <c r="G32" s="65"/>
      <c r="H32" s="66"/>
      <c r="I32" s="66"/>
      <c r="J32" s="66"/>
      <c r="K32" s="66"/>
      <c r="L32" s="67" t="s">
        <v>18</v>
      </c>
      <c r="M32" s="67" t="s">
        <v>21</v>
      </c>
      <c r="N32" s="67" t="s">
        <v>21</v>
      </c>
      <c r="O32" s="67" t="s">
        <v>18</v>
      </c>
      <c r="P32" s="67" t="s">
        <v>18</v>
      </c>
      <c r="Q32" s="67" t="s">
        <v>21</v>
      </c>
      <c r="R32" s="67" t="s">
        <v>21</v>
      </c>
      <c r="S32" s="67" t="s">
        <v>21</v>
      </c>
      <c r="T32" s="67" t="s">
        <v>21</v>
      </c>
      <c r="U32" s="67" t="s">
        <v>18</v>
      </c>
      <c r="V32" s="67" t="s">
        <v>21</v>
      </c>
      <c r="W32" s="67" t="s">
        <v>21</v>
      </c>
    </row>
    <row r="33" spans="1:23" s="62" customFormat="1" ht="50.25" customHeight="1" thickBot="1" x14ac:dyDescent="0.25">
      <c r="A33" s="33">
        <v>31</v>
      </c>
      <c r="B33" s="63" t="s">
        <v>86</v>
      </c>
      <c r="C33" s="63"/>
      <c r="D33" s="65" t="s">
        <v>101</v>
      </c>
      <c r="E33" s="65"/>
      <c r="F33" s="65"/>
      <c r="G33" s="65"/>
      <c r="H33" s="66"/>
      <c r="I33" s="66"/>
      <c r="J33" s="66"/>
      <c r="K33" s="66"/>
      <c r="L33" s="67" t="s">
        <v>21</v>
      </c>
      <c r="M33" s="67" t="s">
        <v>21</v>
      </c>
      <c r="N33" s="67" t="s">
        <v>18</v>
      </c>
      <c r="O33" s="67" t="s">
        <v>21</v>
      </c>
      <c r="P33" s="67" t="s">
        <v>21</v>
      </c>
      <c r="Q33" s="67" t="s">
        <v>21</v>
      </c>
      <c r="R33" s="67" t="s">
        <v>21</v>
      </c>
      <c r="S33" s="67" t="s">
        <v>21</v>
      </c>
      <c r="T33" s="67" t="s">
        <v>21</v>
      </c>
      <c r="U33" s="67" t="s">
        <v>18</v>
      </c>
      <c r="V33" s="67" t="s">
        <v>21</v>
      </c>
      <c r="W33" s="67" t="s">
        <v>21</v>
      </c>
    </row>
    <row r="34" spans="1:23" s="62" customFormat="1" ht="24.95" customHeight="1" thickBot="1" x14ac:dyDescent="0.25">
      <c r="A34" s="33">
        <v>32</v>
      </c>
      <c r="B34" s="74" t="s">
        <v>102</v>
      </c>
      <c r="C34" s="74"/>
      <c r="D34" s="64" t="s">
        <v>103</v>
      </c>
      <c r="E34" s="65"/>
      <c r="F34" s="65"/>
      <c r="G34" s="65"/>
      <c r="H34" s="66"/>
      <c r="I34" s="66"/>
      <c r="J34" s="66"/>
      <c r="K34" s="66"/>
      <c r="L34" s="78" t="s">
        <v>21</v>
      </c>
      <c r="M34" s="78" t="s">
        <v>21</v>
      </c>
      <c r="N34" s="78" t="s">
        <v>21</v>
      </c>
      <c r="O34" s="78" t="s">
        <v>21</v>
      </c>
      <c r="P34" s="78" t="s">
        <v>21</v>
      </c>
      <c r="Q34" s="78" t="s">
        <v>21</v>
      </c>
      <c r="R34" s="78" t="s">
        <v>21</v>
      </c>
      <c r="S34" s="78" t="s">
        <v>21</v>
      </c>
      <c r="T34" s="78" t="s">
        <v>21</v>
      </c>
      <c r="U34" s="78" t="s">
        <v>18</v>
      </c>
      <c r="V34" s="67" t="s">
        <v>21</v>
      </c>
      <c r="W34" s="78" t="s">
        <v>21</v>
      </c>
    </row>
    <row r="35" spans="1:23" s="62" customFormat="1" ht="24.95" customHeight="1" thickBot="1" x14ac:dyDescent="0.25">
      <c r="A35" s="33">
        <v>33</v>
      </c>
      <c r="B35" s="74" t="s">
        <v>102</v>
      </c>
      <c r="C35" s="74"/>
      <c r="D35" s="64" t="s">
        <v>104</v>
      </c>
      <c r="E35" s="65"/>
      <c r="F35" s="65"/>
      <c r="G35" s="65"/>
      <c r="H35" s="66"/>
      <c r="I35" s="66"/>
      <c r="J35" s="66"/>
      <c r="K35" s="66"/>
      <c r="L35" s="78" t="s">
        <v>21</v>
      </c>
      <c r="M35" s="78" t="s">
        <v>21</v>
      </c>
      <c r="N35" s="78" t="s">
        <v>21</v>
      </c>
      <c r="O35" s="78" t="s">
        <v>21</v>
      </c>
      <c r="P35" s="78" t="s">
        <v>21</v>
      </c>
      <c r="Q35" s="78" t="s">
        <v>21</v>
      </c>
      <c r="R35" s="78" t="s">
        <v>21</v>
      </c>
      <c r="S35" s="78" t="s">
        <v>21</v>
      </c>
      <c r="T35" s="78" t="s">
        <v>21</v>
      </c>
      <c r="U35" s="78" t="s">
        <v>18</v>
      </c>
      <c r="V35" s="67" t="s">
        <v>21</v>
      </c>
      <c r="W35" s="78" t="s">
        <v>21</v>
      </c>
    </row>
    <row r="36" spans="1:23" s="62" customFormat="1" ht="32.25" customHeight="1" thickBot="1" x14ac:dyDescent="0.25">
      <c r="A36" s="33">
        <v>34</v>
      </c>
      <c r="B36" s="83" t="s">
        <v>86</v>
      </c>
      <c r="C36" s="84"/>
      <c r="D36" s="85" t="s">
        <v>105</v>
      </c>
      <c r="E36" s="83"/>
      <c r="F36" s="83"/>
      <c r="G36" s="83"/>
      <c r="H36" s="86"/>
      <c r="I36" s="86"/>
      <c r="J36" s="86"/>
      <c r="K36" s="86"/>
      <c r="L36" s="78" t="s">
        <v>21</v>
      </c>
      <c r="M36" s="78" t="s">
        <v>21</v>
      </c>
      <c r="N36" s="78" t="s">
        <v>21</v>
      </c>
      <c r="O36" s="78" t="s">
        <v>21</v>
      </c>
      <c r="P36" s="78" t="s">
        <v>21</v>
      </c>
      <c r="Q36" s="78" t="s">
        <v>21</v>
      </c>
      <c r="R36" s="78" t="s">
        <v>21</v>
      </c>
      <c r="S36" s="78" t="s">
        <v>21</v>
      </c>
      <c r="T36" s="78" t="s">
        <v>21</v>
      </c>
      <c r="U36" s="78" t="s">
        <v>18</v>
      </c>
      <c r="V36" s="67" t="s">
        <v>21</v>
      </c>
      <c r="W36" s="78" t="s">
        <v>21</v>
      </c>
    </row>
    <row r="37" spans="1:23" s="62" customFormat="1" ht="24.95" customHeight="1" thickBot="1" x14ac:dyDescent="0.25">
      <c r="A37" s="33">
        <v>35</v>
      </c>
      <c r="B37" s="75" t="s">
        <v>106</v>
      </c>
      <c r="C37" s="75"/>
      <c r="D37" s="76" t="s">
        <v>107</v>
      </c>
      <c r="E37" s="76"/>
      <c r="F37" s="76"/>
      <c r="G37" s="76"/>
      <c r="H37" s="77"/>
      <c r="I37" s="77"/>
      <c r="J37" s="77"/>
      <c r="K37" s="77"/>
      <c r="L37" s="78" t="s">
        <v>18</v>
      </c>
      <c r="M37" s="78" t="s">
        <v>21</v>
      </c>
      <c r="N37" s="78" t="s">
        <v>21</v>
      </c>
      <c r="O37" s="78" t="s">
        <v>21</v>
      </c>
      <c r="P37" s="78" t="s">
        <v>21</v>
      </c>
      <c r="Q37" s="78" t="s">
        <v>21</v>
      </c>
      <c r="R37" s="78" t="s">
        <v>21</v>
      </c>
      <c r="S37" s="78" t="s">
        <v>25</v>
      </c>
      <c r="T37" s="78" t="s">
        <v>21</v>
      </c>
      <c r="U37" s="78" t="s">
        <v>18</v>
      </c>
      <c r="V37" s="78" t="s">
        <v>21</v>
      </c>
      <c r="W37" s="78" t="s">
        <v>21</v>
      </c>
    </row>
    <row r="38" spans="1:23" s="62" customFormat="1" ht="24.95" customHeight="1" thickBot="1" x14ac:dyDescent="0.25">
      <c r="A38" s="33">
        <v>36</v>
      </c>
      <c r="B38" s="75" t="s">
        <v>106</v>
      </c>
      <c r="C38" s="75"/>
      <c r="D38" s="76" t="s">
        <v>108</v>
      </c>
      <c r="E38" s="76"/>
      <c r="F38" s="76"/>
      <c r="G38" s="76"/>
      <c r="H38" s="77"/>
      <c r="I38" s="77"/>
      <c r="J38" s="77"/>
      <c r="K38" s="77"/>
      <c r="L38" s="78" t="s">
        <v>25</v>
      </c>
      <c r="M38" s="67" t="s">
        <v>21</v>
      </c>
      <c r="N38" s="78" t="s">
        <v>21</v>
      </c>
      <c r="O38" s="78" t="s">
        <v>21</v>
      </c>
      <c r="P38" s="78" t="s">
        <v>21</v>
      </c>
      <c r="Q38" s="78" t="s">
        <v>21</v>
      </c>
      <c r="R38" s="78" t="s">
        <v>18</v>
      </c>
      <c r="S38" s="78" t="s">
        <v>18</v>
      </c>
      <c r="T38" s="78" t="s">
        <v>21</v>
      </c>
      <c r="U38" s="78" t="s">
        <v>21</v>
      </c>
      <c r="V38" s="78" t="s">
        <v>21</v>
      </c>
      <c r="W38" s="78" t="s">
        <v>21</v>
      </c>
    </row>
    <row r="39" spans="1:23" s="62" customFormat="1" ht="24.95" customHeight="1" thickBot="1" x14ac:dyDescent="0.25">
      <c r="A39" s="33">
        <v>37</v>
      </c>
      <c r="B39" s="75" t="s">
        <v>106</v>
      </c>
      <c r="C39" s="75"/>
      <c r="D39" s="76" t="s">
        <v>109</v>
      </c>
      <c r="E39" s="76"/>
      <c r="F39" s="76"/>
      <c r="G39" s="76"/>
      <c r="H39" s="77"/>
      <c r="I39" s="77"/>
      <c r="J39" s="77"/>
      <c r="K39" s="77"/>
      <c r="L39" s="67" t="s">
        <v>18</v>
      </c>
      <c r="M39" s="67" t="s">
        <v>21</v>
      </c>
      <c r="N39" s="67" t="s">
        <v>18</v>
      </c>
      <c r="O39" s="67" t="s">
        <v>18</v>
      </c>
      <c r="P39" s="67" t="s">
        <v>18</v>
      </c>
      <c r="Q39" s="67" t="s">
        <v>18</v>
      </c>
      <c r="R39" s="67" t="s">
        <v>18</v>
      </c>
      <c r="S39" s="67" t="s">
        <v>18</v>
      </c>
      <c r="T39" s="67" t="s">
        <v>18</v>
      </c>
      <c r="U39" s="67" t="s">
        <v>18</v>
      </c>
      <c r="V39" s="67" t="s">
        <v>18</v>
      </c>
      <c r="W39" s="67" t="s">
        <v>18</v>
      </c>
    </row>
    <row r="40" spans="1:23" s="62" customFormat="1" ht="42.75" customHeight="1" thickBot="1" x14ac:dyDescent="0.25">
      <c r="A40" s="33">
        <v>38</v>
      </c>
      <c r="B40" s="74" t="s">
        <v>110</v>
      </c>
      <c r="C40" s="74"/>
      <c r="D40" s="87" t="s">
        <v>111</v>
      </c>
      <c r="E40" s="87"/>
      <c r="F40" s="87"/>
      <c r="G40" s="87"/>
      <c r="H40" s="88"/>
      <c r="I40" s="88"/>
      <c r="J40" s="88"/>
      <c r="K40" s="88"/>
      <c r="L40" s="78" t="s">
        <v>18</v>
      </c>
      <c r="M40" s="67" t="s">
        <v>21</v>
      </c>
      <c r="N40" s="78" t="s">
        <v>18</v>
      </c>
      <c r="O40" s="78" t="s">
        <v>18</v>
      </c>
      <c r="P40" s="78" t="s">
        <v>18</v>
      </c>
      <c r="Q40" s="78" t="s">
        <v>18</v>
      </c>
      <c r="R40" s="78" t="s">
        <v>18</v>
      </c>
      <c r="S40" s="78" t="s">
        <v>18</v>
      </c>
      <c r="T40" s="78" t="s">
        <v>21</v>
      </c>
      <c r="U40" s="78" t="s">
        <v>21</v>
      </c>
      <c r="V40" s="78" t="s">
        <v>18</v>
      </c>
      <c r="W40" s="78" t="s">
        <v>21</v>
      </c>
    </row>
    <row r="41" spans="1:23" s="62" customFormat="1" ht="24.95" customHeight="1" thickBot="1" x14ac:dyDescent="0.25">
      <c r="A41" s="33">
        <v>39</v>
      </c>
      <c r="B41" s="75" t="s">
        <v>106</v>
      </c>
      <c r="C41" s="75"/>
      <c r="D41" s="89" t="s">
        <v>112</v>
      </c>
      <c r="E41" s="90"/>
      <c r="F41" s="90"/>
      <c r="G41" s="90"/>
      <c r="H41" s="91"/>
      <c r="I41" s="91"/>
      <c r="J41" s="91"/>
      <c r="K41" s="91"/>
      <c r="L41" s="78" t="s">
        <v>21</v>
      </c>
      <c r="M41" s="78" t="s">
        <v>21</v>
      </c>
      <c r="N41" s="78" t="s">
        <v>21</v>
      </c>
      <c r="O41" s="78" t="s">
        <v>21</v>
      </c>
      <c r="P41" s="78" t="s">
        <v>21</v>
      </c>
      <c r="Q41" s="78" t="s">
        <v>21</v>
      </c>
      <c r="R41" s="78" t="s">
        <v>21</v>
      </c>
      <c r="S41" s="78" t="s">
        <v>18</v>
      </c>
      <c r="T41" s="78" t="s">
        <v>21</v>
      </c>
      <c r="U41" s="78" t="s">
        <v>21</v>
      </c>
      <c r="V41" s="78" t="s">
        <v>21</v>
      </c>
      <c r="W41" s="78" t="s">
        <v>21</v>
      </c>
    </row>
    <row r="42" spans="1:23" s="62" customFormat="1" ht="32.25" customHeight="1" thickBot="1" x14ac:dyDescent="0.25">
      <c r="A42" s="33">
        <v>40</v>
      </c>
      <c r="B42" s="83" t="s">
        <v>110</v>
      </c>
      <c r="C42" s="84"/>
      <c r="D42" s="85" t="s">
        <v>113</v>
      </c>
      <c r="E42" s="83"/>
      <c r="F42" s="83"/>
      <c r="G42" s="83"/>
      <c r="H42" s="86"/>
      <c r="I42" s="86"/>
      <c r="J42" s="86"/>
      <c r="K42" s="86"/>
      <c r="L42" s="78" t="s">
        <v>25</v>
      </c>
      <c r="M42" s="78" t="s">
        <v>114</v>
      </c>
      <c r="N42" s="78" t="s">
        <v>21</v>
      </c>
      <c r="O42" s="78" t="s">
        <v>21</v>
      </c>
      <c r="P42" s="78" t="s">
        <v>21</v>
      </c>
      <c r="Q42" s="78" t="s">
        <v>21</v>
      </c>
      <c r="R42" s="78" t="s">
        <v>21</v>
      </c>
      <c r="S42" s="78" t="s">
        <v>21</v>
      </c>
      <c r="T42" s="78" t="s">
        <v>21</v>
      </c>
      <c r="U42" s="78" t="s">
        <v>21</v>
      </c>
      <c r="V42" s="67" t="s">
        <v>21</v>
      </c>
      <c r="W42" s="78" t="s">
        <v>21</v>
      </c>
    </row>
    <row r="43" spans="1:23" s="62" customFormat="1" ht="32.25" customHeight="1" thickBot="1" x14ac:dyDescent="0.25">
      <c r="A43" s="33">
        <v>41</v>
      </c>
      <c r="B43" s="83" t="s">
        <v>110</v>
      </c>
      <c r="C43" s="84"/>
      <c r="D43" s="85" t="s">
        <v>115</v>
      </c>
      <c r="E43" s="83"/>
      <c r="F43" s="83"/>
      <c r="G43" s="83"/>
      <c r="H43" s="86"/>
      <c r="I43" s="86"/>
      <c r="J43" s="86"/>
      <c r="K43" s="86"/>
      <c r="L43" s="78" t="s">
        <v>25</v>
      </c>
      <c r="M43" s="78" t="s">
        <v>21</v>
      </c>
      <c r="N43" s="78" t="s">
        <v>21</v>
      </c>
      <c r="O43" s="78" t="s">
        <v>21</v>
      </c>
      <c r="P43" s="78" t="s">
        <v>21</v>
      </c>
      <c r="Q43" s="78" t="s">
        <v>21</v>
      </c>
      <c r="R43" s="78" t="s">
        <v>21</v>
      </c>
      <c r="S43" s="78" t="s">
        <v>18</v>
      </c>
      <c r="T43" s="78" t="s">
        <v>21</v>
      </c>
      <c r="U43" s="78" t="s">
        <v>21</v>
      </c>
      <c r="V43" s="67" t="s">
        <v>21</v>
      </c>
      <c r="W43" s="78" t="s">
        <v>21</v>
      </c>
    </row>
    <row r="44" spans="1:23" s="62" customFormat="1" ht="32.25" customHeight="1" thickBot="1" x14ac:dyDescent="0.25">
      <c r="A44" s="33">
        <v>42</v>
      </c>
      <c r="B44" s="83" t="s">
        <v>110</v>
      </c>
      <c r="C44" s="84"/>
      <c r="D44" s="85" t="s">
        <v>116</v>
      </c>
      <c r="E44" s="83"/>
      <c r="F44" s="83"/>
      <c r="G44" s="83"/>
      <c r="H44" s="86"/>
      <c r="I44" s="86"/>
      <c r="J44" s="86"/>
      <c r="K44" s="86"/>
      <c r="L44" s="78" t="s">
        <v>25</v>
      </c>
      <c r="M44" s="78" t="s">
        <v>21</v>
      </c>
      <c r="N44" s="78" t="s">
        <v>21</v>
      </c>
      <c r="O44" s="78" t="s">
        <v>21</v>
      </c>
      <c r="P44" s="78" t="s">
        <v>21</v>
      </c>
      <c r="Q44" s="78" t="s">
        <v>21</v>
      </c>
      <c r="R44" s="78" t="s">
        <v>18</v>
      </c>
      <c r="S44" s="78" t="s">
        <v>18</v>
      </c>
      <c r="T44" s="78" t="s">
        <v>21</v>
      </c>
      <c r="U44" s="78" t="s">
        <v>21</v>
      </c>
      <c r="V44" s="67" t="s">
        <v>21</v>
      </c>
      <c r="W44" s="78" t="s">
        <v>21</v>
      </c>
    </row>
    <row r="45" spans="1:23" s="62" customFormat="1" ht="32.25" customHeight="1" thickBot="1" x14ac:dyDescent="0.25">
      <c r="A45" s="33">
        <v>43</v>
      </c>
      <c r="B45" s="83" t="s">
        <v>110</v>
      </c>
      <c r="C45" s="84"/>
      <c r="D45" s="85" t="s">
        <v>117</v>
      </c>
      <c r="E45" s="83"/>
      <c r="F45" s="83"/>
      <c r="G45" s="83"/>
      <c r="H45" s="86"/>
      <c r="I45" s="86"/>
      <c r="J45" s="86"/>
      <c r="K45" s="86"/>
      <c r="L45" s="78" t="s">
        <v>18</v>
      </c>
      <c r="M45" s="78" t="s">
        <v>21</v>
      </c>
      <c r="N45" s="78" t="s">
        <v>21</v>
      </c>
      <c r="O45" s="78" t="s">
        <v>21</v>
      </c>
      <c r="P45" s="78" t="s">
        <v>21</v>
      </c>
      <c r="Q45" s="78" t="s">
        <v>21</v>
      </c>
      <c r="R45" s="78" t="s">
        <v>18</v>
      </c>
      <c r="S45" s="78" t="s">
        <v>18</v>
      </c>
      <c r="T45" s="78" t="s">
        <v>21</v>
      </c>
      <c r="U45" s="78" t="s">
        <v>21</v>
      </c>
      <c r="V45" s="67" t="s">
        <v>21</v>
      </c>
      <c r="W45" s="78" t="s">
        <v>21</v>
      </c>
    </row>
    <row r="46" spans="1:23" s="62" customFormat="1" ht="32.25" customHeight="1" thickBot="1" x14ac:dyDescent="0.25">
      <c r="A46" s="33">
        <v>44</v>
      </c>
      <c r="B46" s="83" t="s">
        <v>110</v>
      </c>
      <c r="C46" s="84"/>
      <c r="D46" s="85" t="s">
        <v>118</v>
      </c>
      <c r="E46" s="83"/>
      <c r="F46" s="83"/>
      <c r="G46" s="83"/>
      <c r="H46" s="86"/>
      <c r="I46" s="86"/>
      <c r="J46" s="86"/>
      <c r="K46" s="86"/>
      <c r="L46" s="78" t="s">
        <v>18</v>
      </c>
      <c r="M46" s="78" t="s">
        <v>21</v>
      </c>
      <c r="N46" s="78" t="s">
        <v>21</v>
      </c>
      <c r="O46" s="78" t="s">
        <v>21</v>
      </c>
      <c r="P46" s="78" t="s">
        <v>21</v>
      </c>
      <c r="Q46" s="78" t="s">
        <v>21</v>
      </c>
      <c r="R46" s="78" t="s">
        <v>21</v>
      </c>
      <c r="S46" s="78" t="s">
        <v>18</v>
      </c>
      <c r="T46" s="78" t="s">
        <v>21</v>
      </c>
      <c r="U46" s="78" t="s">
        <v>21</v>
      </c>
      <c r="V46" s="67" t="s">
        <v>21</v>
      </c>
      <c r="W46" s="78" t="s">
        <v>21</v>
      </c>
    </row>
    <row r="47" spans="1:23" s="62" customFormat="1" ht="32.25" customHeight="1" thickBot="1" x14ac:dyDescent="0.25">
      <c r="A47" s="33">
        <v>45</v>
      </c>
      <c r="B47" s="83" t="s">
        <v>110</v>
      </c>
      <c r="C47" s="84"/>
      <c r="D47" s="85" t="s">
        <v>119</v>
      </c>
      <c r="E47" s="83"/>
      <c r="F47" s="83"/>
      <c r="G47" s="83"/>
      <c r="H47" s="86"/>
      <c r="I47" s="86"/>
      <c r="J47" s="86"/>
      <c r="K47" s="86"/>
      <c r="L47" s="78" t="s">
        <v>18</v>
      </c>
      <c r="M47" s="78" t="s">
        <v>21</v>
      </c>
      <c r="N47" s="78" t="s">
        <v>21</v>
      </c>
      <c r="O47" s="78" t="s">
        <v>21</v>
      </c>
      <c r="P47" s="78" t="s">
        <v>21</v>
      </c>
      <c r="Q47" s="78" t="s">
        <v>21</v>
      </c>
      <c r="R47" s="78" t="s">
        <v>21</v>
      </c>
      <c r="S47" s="78" t="s">
        <v>21</v>
      </c>
      <c r="T47" s="78" t="s">
        <v>21</v>
      </c>
      <c r="U47" s="78" t="s">
        <v>21</v>
      </c>
      <c r="V47" s="67" t="s">
        <v>21</v>
      </c>
      <c r="W47" s="78" t="s">
        <v>21</v>
      </c>
    </row>
    <row r="48" spans="1:23" s="62" customFormat="1" ht="32.25" customHeight="1" thickBot="1" x14ac:dyDescent="0.25">
      <c r="A48" s="33">
        <v>46</v>
      </c>
      <c r="B48" s="83" t="s">
        <v>110</v>
      </c>
      <c r="C48" s="84"/>
      <c r="D48" s="85" t="s">
        <v>120</v>
      </c>
      <c r="E48" s="83"/>
      <c r="F48" s="83"/>
      <c r="G48" s="83"/>
      <c r="H48" s="86"/>
      <c r="I48" s="86"/>
      <c r="J48" s="86"/>
      <c r="K48" s="86"/>
      <c r="L48" s="78" t="s">
        <v>25</v>
      </c>
      <c r="M48" s="78" t="s">
        <v>21</v>
      </c>
      <c r="N48" s="78" t="s">
        <v>21</v>
      </c>
      <c r="O48" s="78" t="s">
        <v>21</v>
      </c>
      <c r="P48" s="78" t="s">
        <v>21</v>
      </c>
      <c r="Q48" s="78" t="s">
        <v>21</v>
      </c>
      <c r="R48" s="78" t="s">
        <v>21</v>
      </c>
      <c r="S48" s="78" t="s">
        <v>21</v>
      </c>
      <c r="T48" s="78" t="s">
        <v>21</v>
      </c>
      <c r="U48" s="78" t="s">
        <v>21</v>
      </c>
      <c r="V48" s="67" t="s">
        <v>21</v>
      </c>
      <c r="W48" s="78" t="s">
        <v>21</v>
      </c>
    </row>
    <row r="49" spans="1:23" s="62" customFormat="1" ht="32.25" customHeight="1" thickBot="1" x14ac:dyDescent="0.25">
      <c r="A49" s="33">
        <v>47</v>
      </c>
      <c r="B49" s="83" t="s">
        <v>110</v>
      </c>
      <c r="C49" s="84"/>
      <c r="D49" s="85" t="s">
        <v>121</v>
      </c>
      <c r="E49" s="83"/>
      <c r="F49" s="83"/>
      <c r="G49" s="83"/>
      <c r="H49" s="86"/>
      <c r="I49" s="86"/>
      <c r="J49" s="86"/>
      <c r="K49" s="86"/>
      <c r="L49" s="78" t="s">
        <v>25</v>
      </c>
      <c r="M49" s="78" t="s">
        <v>21</v>
      </c>
      <c r="N49" s="78" t="s">
        <v>21</v>
      </c>
      <c r="O49" s="78" t="s">
        <v>21</v>
      </c>
      <c r="P49" s="78" t="s">
        <v>21</v>
      </c>
      <c r="Q49" s="78" t="s">
        <v>21</v>
      </c>
      <c r="R49" s="78" t="s">
        <v>21</v>
      </c>
      <c r="S49" s="78" t="s">
        <v>18</v>
      </c>
      <c r="T49" s="78" t="s">
        <v>21</v>
      </c>
      <c r="U49" s="78" t="s">
        <v>21</v>
      </c>
      <c r="V49" s="67" t="s">
        <v>21</v>
      </c>
      <c r="W49" s="78" t="s">
        <v>21</v>
      </c>
    </row>
    <row r="50" spans="1:23" s="62" customFormat="1" ht="32.25" customHeight="1" thickBot="1" x14ac:dyDescent="0.25">
      <c r="A50" s="33">
        <v>48</v>
      </c>
      <c r="B50" s="83" t="s">
        <v>110</v>
      </c>
      <c r="C50" s="84"/>
      <c r="D50" s="92" t="s">
        <v>122</v>
      </c>
      <c r="E50" s="87"/>
      <c r="F50" s="87"/>
      <c r="G50" s="87"/>
      <c r="H50" s="88"/>
      <c r="I50" s="88"/>
      <c r="J50" s="88"/>
      <c r="K50" s="88"/>
      <c r="L50" s="78" t="s">
        <v>18</v>
      </c>
      <c r="M50" s="93" t="s">
        <v>21</v>
      </c>
      <c r="N50" s="78" t="s">
        <v>21</v>
      </c>
      <c r="O50" s="78" t="s">
        <v>21</v>
      </c>
      <c r="P50" s="78" t="s">
        <v>21</v>
      </c>
      <c r="Q50" s="78" t="s">
        <v>21</v>
      </c>
      <c r="R50" s="78" t="s">
        <v>18</v>
      </c>
      <c r="S50" s="78" t="s">
        <v>18</v>
      </c>
      <c r="T50" s="78" t="s">
        <v>21</v>
      </c>
      <c r="U50" s="78" t="s">
        <v>21</v>
      </c>
      <c r="V50" s="67" t="s">
        <v>21</v>
      </c>
      <c r="W50" s="78" t="s">
        <v>21</v>
      </c>
    </row>
    <row r="51" spans="1:23" s="62" customFormat="1" ht="32.25" customHeight="1" thickBot="1" x14ac:dyDescent="0.25">
      <c r="A51" s="33">
        <v>49</v>
      </c>
      <c r="B51" s="94" t="s">
        <v>110</v>
      </c>
      <c r="C51" s="95"/>
      <c r="D51" s="64" t="s">
        <v>123</v>
      </c>
      <c r="E51" s="65"/>
      <c r="F51" s="65"/>
      <c r="G51" s="65"/>
      <c r="H51" s="65"/>
      <c r="I51" s="65"/>
      <c r="J51" s="65"/>
      <c r="K51" s="65"/>
      <c r="L51" s="78" t="s">
        <v>25</v>
      </c>
      <c r="M51" s="78" t="s">
        <v>21</v>
      </c>
      <c r="N51" s="78" t="s">
        <v>21</v>
      </c>
      <c r="O51" s="78" t="s">
        <v>21</v>
      </c>
      <c r="P51" s="78" t="s">
        <v>21</v>
      </c>
      <c r="Q51" s="78" t="s">
        <v>21</v>
      </c>
      <c r="R51" s="78" t="s">
        <v>18</v>
      </c>
      <c r="S51" s="78" t="s">
        <v>18</v>
      </c>
      <c r="T51" s="78" t="s">
        <v>21</v>
      </c>
      <c r="U51" s="78" t="s">
        <v>21</v>
      </c>
      <c r="V51" s="67" t="s">
        <v>21</v>
      </c>
      <c r="W51" s="78" t="s">
        <v>21</v>
      </c>
    </row>
    <row r="52" spans="1:23" s="62" customFormat="1" ht="32.25" customHeight="1" thickBot="1" x14ac:dyDescent="0.25">
      <c r="A52" s="33">
        <v>50</v>
      </c>
      <c r="B52" s="94" t="s">
        <v>110</v>
      </c>
      <c r="C52" s="95"/>
      <c r="D52" s="64" t="s">
        <v>124</v>
      </c>
      <c r="E52" s="65"/>
      <c r="F52" s="65"/>
      <c r="G52" s="65"/>
      <c r="H52" s="65"/>
      <c r="I52" s="65"/>
      <c r="J52" s="65"/>
      <c r="K52" s="65"/>
      <c r="L52" s="78" t="s">
        <v>18</v>
      </c>
      <c r="M52" s="78" t="s">
        <v>18</v>
      </c>
      <c r="N52" s="78" t="s">
        <v>18</v>
      </c>
      <c r="O52" s="78" t="s">
        <v>21</v>
      </c>
      <c r="P52" s="78" t="s">
        <v>18</v>
      </c>
      <c r="Q52" s="78" t="s">
        <v>18</v>
      </c>
      <c r="R52" s="78" t="s">
        <v>18</v>
      </c>
      <c r="S52" s="78" t="s">
        <v>18</v>
      </c>
      <c r="T52" s="78" t="s">
        <v>21</v>
      </c>
      <c r="U52" s="78" t="s">
        <v>21</v>
      </c>
      <c r="V52" s="67" t="s">
        <v>21</v>
      </c>
      <c r="W52" s="78" t="s">
        <v>21</v>
      </c>
    </row>
    <row r="53" spans="1:23" s="62" customFormat="1" ht="32.25" customHeight="1" thickBot="1" x14ac:dyDescent="0.25">
      <c r="A53" s="33">
        <v>51</v>
      </c>
      <c r="B53" s="94" t="s">
        <v>110</v>
      </c>
      <c r="C53" s="95"/>
      <c r="D53" s="65" t="s">
        <v>125</v>
      </c>
      <c r="E53" s="65"/>
      <c r="F53" s="65"/>
      <c r="G53" s="65"/>
      <c r="H53" s="65"/>
      <c r="I53" s="65"/>
      <c r="J53" s="65"/>
      <c r="K53" s="65"/>
      <c r="L53" s="78" t="s">
        <v>18</v>
      </c>
      <c r="M53" s="78" t="s">
        <v>21</v>
      </c>
      <c r="N53" s="78" t="s">
        <v>21</v>
      </c>
      <c r="O53" s="78" t="s">
        <v>21</v>
      </c>
      <c r="P53" s="78" t="s">
        <v>18</v>
      </c>
      <c r="Q53" s="78" t="s">
        <v>18</v>
      </c>
      <c r="R53" s="78" t="s">
        <v>18</v>
      </c>
      <c r="S53" s="78" t="s">
        <v>18</v>
      </c>
      <c r="T53" s="78" t="s">
        <v>21</v>
      </c>
      <c r="U53" s="78" t="s">
        <v>21</v>
      </c>
      <c r="V53" s="67" t="s">
        <v>21</v>
      </c>
      <c r="W53" s="78" t="s">
        <v>21</v>
      </c>
    </row>
    <row r="54" spans="1:23" s="62" customFormat="1" ht="32.25" customHeight="1" thickBot="1" x14ac:dyDescent="0.25">
      <c r="A54" s="33">
        <v>52</v>
      </c>
      <c r="B54" s="94" t="s">
        <v>110</v>
      </c>
      <c r="C54" s="95"/>
      <c r="D54" s="65" t="s">
        <v>126</v>
      </c>
      <c r="E54" s="65"/>
      <c r="F54" s="65"/>
      <c r="G54" s="65"/>
      <c r="H54" s="65"/>
      <c r="I54" s="65"/>
      <c r="J54" s="65"/>
      <c r="K54" s="65"/>
      <c r="L54" s="78" t="s">
        <v>18</v>
      </c>
      <c r="M54" s="78" t="s">
        <v>21</v>
      </c>
      <c r="N54" s="78" t="s">
        <v>21</v>
      </c>
      <c r="O54" s="78" t="s">
        <v>21</v>
      </c>
      <c r="P54" s="78" t="s">
        <v>18</v>
      </c>
      <c r="Q54" s="78" t="s">
        <v>21</v>
      </c>
      <c r="R54" s="78" t="s">
        <v>18</v>
      </c>
      <c r="S54" s="78" t="s">
        <v>18</v>
      </c>
      <c r="T54" s="78" t="s">
        <v>21</v>
      </c>
      <c r="U54" s="78" t="s">
        <v>21</v>
      </c>
      <c r="V54" s="67" t="s">
        <v>21</v>
      </c>
      <c r="W54" s="78" t="s">
        <v>21</v>
      </c>
    </row>
    <row r="55" spans="1:23" s="62" customFormat="1" ht="24.95" customHeight="1" thickBot="1" x14ac:dyDescent="0.25">
      <c r="A55" s="33">
        <v>53</v>
      </c>
      <c r="B55" s="75" t="s">
        <v>127</v>
      </c>
      <c r="C55" s="75"/>
      <c r="D55" s="76" t="s">
        <v>128</v>
      </c>
      <c r="E55" s="76"/>
      <c r="F55" s="76"/>
      <c r="G55" s="76"/>
      <c r="H55" s="77"/>
      <c r="I55" s="77"/>
      <c r="J55" s="77"/>
      <c r="K55" s="77"/>
      <c r="L55" s="67" t="s">
        <v>18</v>
      </c>
      <c r="M55" s="78" t="s">
        <v>21</v>
      </c>
      <c r="N55" s="67" t="s">
        <v>18</v>
      </c>
      <c r="O55" s="67" t="s">
        <v>18</v>
      </c>
      <c r="P55" s="67" t="s">
        <v>18</v>
      </c>
      <c r="Q55" s="67" t="s">
        <v>25</v>
      </c>
      <c r="R55" s="67" t="s">
        <v>21</v>
      </c>
      <c r="S55" s="67" t="s">
        <v>21</v>
      </c>
      <c r="T55" s="67" t="s">
        <v>18</v>
      </c>
      <c r="U55" s="67" t="s">
        <v>21</v>
      </c>
      <c r="V55" s="67" t="s">
        <v>21</v>
      </c>
      <c r="W55" s="67" t="s">
        <v>21</v>
      </c>
    </row>
    <row r="56" spans="1:23" s="62" customFormat="1" ht="42" customHeight="1" thickBot="1" x14ac:dyDescent="0.25">
      <c r="A56" s="33">
        <v>54</v>
      </c>
      <c r="B56" s="75" t="s">
        <v>127</v>
      </c>
      <c r="C56" s="75"/>
      <c r="D56" s="76" t="s">
        <v>129</v>
      </c>
      <c r="E56" s="76"/>
      <c r="F56" s="76"/>
      <c r="G56" s="76"/>
      <c r="H56" s="77"/>
      <c r="I56" s="77"/>
      <c r="J56" s="77"/>
      <c r="K56" s="77"/>
      <c r="L56" s="67" t="s">
        <v>18</v>
      </c>
      <c r="M56" s="78" t="s">
        <v>21</v>
      </c>
      <c r="N56" s="67" t="s">
        <v>18</v>
      </c>
      <c r="O56" s="67" t="s">
        <v>18</v>
      </c>
      <c r="P56" s="67" t="s">
        <v>18</v>
      </c>
      <c r="Q56" s="67" t="s">
        <v>18</v>
      </c>
      <c r="R56" s="67" t="s">
        <v>21</v>
      </c>
      <c r="S56" s="67" t="s">
        <v>21</v>
      </c>
      <c r="T56" s="67" t="s">
        <v>18</v>
      </c>
      <c r="U56" s="67" t="s">
        <v>21</v>
      </c>
      <c r="V56" s="67" t="s">
        <v>21</v>
      </c>
      <c r="W56" s="67" t="s">
        <v>21</v>
      </c>
    </row>
    <row r="57" spans="1:23" s="62" customFormat="1" ht="36" customHeight="1" thickBot="1" x14ac:dyDescent="0.25">
      <c r="A57" s="33">
        <v>55</v>
      </c>
      <c r="B57" s="75" t="s">
        <v>130</v>
      </c>
      <c r="C57" s="75"/>
      <c r="D57" s="76" t="s">
        <v>131</v>
      </c>
      <c r="E57" s="76"/>
      <c r="F57" s="76"/>
      <c r="G57" s="76"/>
      <c r="H57" s="77"/>
      <c r="I57" s="77"/>
      <c r="J57" s="77"/>
      <c r="K57" s="77"/>
      <c r="L57" s="78" t="s">
        <v>18</v>
      </c>
      <c r="M57" s="78" t="s">
        <v>21</v>
      </c>
      <c r="N57" s="78" t="s">
        <v>18</v>
      </c>
      <c r="O57" s="78" t="s">
        <v>18</v>
      </c>
      <c r="P57" s="78" t="s">
        <v>18</v>
      </c>
      <c r="Q57" s="78" t="s">
        <v>18</v>
      </c>
      <c r="R57" s="67" t="s">
        <v>21</v>
      </c>
      <c r="S57" s="78" t="s">
        <v>21</v>
      </c>
      <c r="T57" s="78" t="s">
        <v>18</v>
      </c>
      <c r="U57" s="78" t="s">
        <v>21</v>
      </c>
      <c r="V57" s="67" t="s">
        <v>21</v>
      </c>
      <c r="W57" s="78" t="s">
        <v>21</v>
      </c>
    </row>
    <row r="58" spans="1:23" s="62" customFormat="1" ht="24.95" customHeight="1" thickBot="1" x14ac:dyDescent="0.25">
      <c r="A58" s="33">
        <v>56</v>
      </c>
      <c r="B58" s="75" t="s">
        <v>132</v>
      </c>
      <c r="C58" s="75"/>
      <c r="D58" s="76" t="s">
        <v>133</v>
      </c>
      <c r="E58" s="76"/>
      <c r="F58" s="76"/>
      <c r="G58" s="76"/>
      <c r="H58" s="77"/>
      <c r="I58" s="77"/>
      <c r="J58" s="77"/>
      <c r="K58" s="77"/>
      <c r="L58" s="67" t="s">
        <v>21</v>
      </c>
      <c r="M58" s="67" t="s">
        <v>21</v>
      </c>
      <c r="N58" s="67" t="s">
        <v>21</v>
      </c>
      <c r="O58" s="67" t="s">
        <v>21</v>
      </c>
      <c r="P58" s="67" t="s">
        <v>18</v>
      </c>
      <c r="Q58" s="67" t="s">
        <v>21</v>
      </c>
      <c r="R58" s="67" t="s">
        <v>21</v>
      </c>
      <c r="S58" s="67" t="s">
        <v>21</v>
      </c>
      <c r="T58" s="67" t="s">
        <v>21</v>
      </c>
      <c r="U58" s="67" t="s">
        <v>21</v>
      </c>
      <c r="V58" s="67" t="s">
        <v>21</v>
      </c>
      <c r="W58" s="67" t="s">
        <v>21</v>
      </c>
    </row>
    <row r="59" spans="1:23" s="62" customFormat="1" ht="33" customHeight="1" thickBot="1" x14ac:dyDescent="0.25">
      <c r="A59" s="33">
        <v>57</v>
      </c>
      <c r="B59" s="63" t="s">
        <v>134</v>
      </c>
      <c r="C59" s="63"/>
      <c r="D59" s="64" t="s">
        <v>135</v>
      </c>
      <c r="E59" s="65"/>
      <c r="F59" s="65"/>
      <c r="G59" s="65"/>
      <c r="H59" s="66"/>
      <c r="I59" s="66"/>
      <c r="J59" s="66"/>
      <c r="K59" s="66"/>
      <c r="L59" s="67" t="s">
        <v>25</v>
      </c>
      <c r="M59" s="67" t="s">
        <v>21</v>
      </c>
      <c r="N59" s="67" t="s">
        <v>25</v>
      </c>
      <c r="O59" s="67" t="s">
        <v>25</v>
      </c>
      <c r="P59" s="67" t="s">
        <v>18</v>
      </c>
      <c r="Q59" s="67" t="s">
        <v>25</v>
      </c>
      <c r="R59" s="67" t="s">
        <v>21</v>
      </c>
      <c r="S59" s="67" t="s">
        <v>21</v>
      </c>
      <c r="T59" s="67" t="s">
        <v>18</v>
      </c>
      <c r="U59" s="67" t="s">
        <v>25</v>
      </c>
      <c r="V59" s="67" t="s">
        <v>21</v>
      </c>
      <c r="W59" s="67" t="s">
        <v>21</v>
      </c>
    </row>
    <row r="60" spans="1:23" s="62" customFormat="1" ht="32.450000000000003" customHeight="1" thickBot="1" x14ac:dyDescent="0.25">
      <c r="A60" s="33">
        <v>58</v>
      </c>
      <c r="B60" s="63" t="s">
        <v>134</v>
      </c>
      <c r="C60" s="63"/>
      <c r="D60" s="64" t="s">
        <v>136</v>
      </c>
      <c r="E60" s="65"/>
      <c r="F60" s="65"/>
      <c r="G60" s="65"/>
      <c r="H60" s="66"/>
      <c r="I60" s="66"/>
      <c r="J60" s="66"/>
      <c r="K60" s="66"/>
      <c r="L60" s="67" t="s">
        <v>25</v>
      </c>
      <c r="M60" s="67" t="s">
        <v>21</v>
      </c>
      <c r="N60" s="67" t="s">
        <v>18</v>
      </c>
      <c r="O60" s="67" t="s">
        <v>25</v>
      </c>
      <c r="P60" s="67" t="s">
        <v>18</v>
      </c>
      <c r="Q60" s="67" t="s">
        <v>18</v>
      </c>
      <c r="R60" s="67" t="s">
        <v>21</v>
      </c>
      <c r="S60" s="67" t="s">
        <v>21</v>
      </c>
      <c r="T60" s="67" t="s">
        <v>18</v>
      </c>
      <c r="U60" s="67" t="s">
        <v>21</v>
      </c>
      <c r="V60" s="67" t="s">
        <v>21</v>
      </c>
      <c r="W60" s="67" t="s">
        <v>21</v>
      </c>
    </row>
    <row r="61" spans="1:23" s="62" customFormat="1" ht="32.450000000000003" customHeight="1" thickBot="1" x14ac:dyDescent="0.25">
      <c r="A61" s="33">
        <v>59</v>
      </c>
      <c r="B61" s="63" t="s">
        <v>134</v>
      </c>
      <c r="C61" s="63"/>
      <c r="D61" s="64" t="s">
        <v>137</v>
      </c>
      <c r="E61" s="65"/>
      <c r="F61" s="65"/>
      <c r="G61" s="65"/>
      <c r="H61" s="66"/>
      <c r="I61" s="66"/>
      <c r="J61" s="66"/>
      <c r="K61" s="66"/>
      <c r="L61" s="67" t="s">
        <v>18</v>
      </c>
      <c r="M61" s="67" t="s">
        <v>21</v>
      </c>
      <c r="N61" s="67" t="s">
        <v>18</v>
      </c>
      <c r="O61" s="67" t="s">
        <v>18</v>
      </c>
      <c r="P61" s="67" t="s">
        <v>18</v>
      </c>
      <c r="Q61" s="67" t="s">
        <v>18</v>
      </c>
      <c r="R61" s="67" t="s">
        <v>21</v>
      </c>
      <c r="S61" s="67" t="s">
        <v>21</v>
      </c>
      <c r="T61" s="67" t="s">
        <v>18</v>
      </c>
      <c r="U61" s="67" t="s">
        <v>21</v>
      </c>
      <c r="V61" s="67" t="s">
        <v>21</v>
      </c>
      <c r="W61" s="67" t="s">
        <v>21</v>
      </c>
    </row>
    <row r="62" spans="1:23" s="62" customFormat="1" ht="32.450000000000003" customHeight="1" thickBot="1" x14ac:dyDescent="0.25">
      <c r="A62" s="33">
        <v>60</v>
      </c>
      <c r="B62" s="63" t="s">
        <v>134</v>
      </c>
      <c r="C62" s="63"/>
      <c r="D62" s="64" t="s">
        <v>138</v>
      </c>
      <c r="E62" s="65"/>
      <c r="F62" s="65"/>
      <c r="G62" s="65"/>
      <c r="H62" s="66"/>
      <c r="I62" s="66"/>
      <c r="J62" s="66"/>
      <c r="K62" s="66"/>
      <c r="L62" s="67" t="s">
        <v>21</v>
      </c>
      <c r="M62" s="67" t="s">
        <v>21</v>
      </c>
      <c r="N62" s="67" t="s">
        <v>21</v>
      </c>
      <c r="O62" s="67" t="s">
        <v>18</v>
      </c>
      <c r="P62" s="67" t="s">
        <v>18</v>
      </c>
      <c r="Q62" s="67" t="s">
        <v>18</v>
      </c>
      <c r="R62" s="67" t="s">
        <v>21</v>
      </c>
      <c r="S62" s="67" t="s">
        <v>21</v>
      </c>
      <c r="T62" s="67" t="s">
        <v>18</v>
      </c>
      <c r="U62" s="67" t="s">
        <v>18</v>
      </c>
      <c r="V62" s="67" t="s">
        <v>21</v>
      </c>
      <c r="W62" s="67" t="s">
        <v>21</v>
      </c>
    </row>
    <row r="63" spans="1:23" s="62" customFormat="1" ht="32.450000000000003" customHeight="1" thickBot="1" x14ac:dyDescent="0.25">
      <c r="A63" s="33">
        <v>61</v>
      </c>
      <c r="B63" s="63" t="s">
        <v>139</v>
      </c>
      <c r="C63" s="63"/>
      <c r="D63" s="64" t="s">
        <v>140</v>
      </c>
      <c r="E63" s="65"/>
      <c r="F63" s="65"/>
      <c r="G63" s="65"/>
      <c r="H63" s="66"/>
      <c r="I63" s="66"/>
      <c r="J63" s="66"/>
      <c r="K63" s="66"/>
      <c r="L63" s="67" t="s">
        <v>18</v>
      </c>
      <c r="M63" s="67" t="s">
        <v>21</v>
      </c>
      <c r="N63" s="67" t="s">
        <v>18</v>
      </c>
      <c r="O63" s="67" t="s">
        <v>25</v>
      </c>
      <c r="P63" s="67" t="s">
        <v>18</v>
      </c>
      <c r="Q63" s="67" t="s">
        <v>18</v>
      </c>
      <c r="R63" s="67" t="s">
        <v>21</v>
      </c>
      <c r="S63" s="67" t="s">
        <v>21</v>
      </c>
      <c r="T63" s="67" t="s">
        <v>21</v>
      </c>
      <c r="U63" s="67" t="s">
        <v>18</v>
      </c>
      <c r="V63" s="67" t="s">
        <v>21</v>
      </c>
      <c r="W63" s="67" t="s">
        <v>21</v>
      </c>
    </row>
    <row r="64" spans="1:23" s="62" customFormat="1" ht="32.450000000000003" customHeight="1" thickBot="1" x14ac:dyDescent="0.25">
      <c r="A64" s="33">
        <v>62</v>
      </c>
      <c r="B64" s="63" t="s">
        <v>141</v>
      </c>
      <c r="C64" s="63"/>
      <c r="D64" s="65" t="s">
        <v>142</v>
      </c>
      <c r="E64" s="65"/>
      <c r="F64" s="65"/>
      <c r="G64" s="65"/>
      <c r="H64" s="66"/>
      <c r="I64" s="66"/>
      <c r="J64" s="66"/>
      <c r="K64" s="66"/>
      <c r="L64" s="67" t="s">
        <v>21</v>
      </c>
      <c r="M64" s="67" t="s">
        <v>21</v>
      </c>
      <c r="N64" s="67" t="s">
        <v>21</v>
      </c>
      <c r="O64" s="67" t="s">
        <v>21</v>
      </c>
      <c r="P64" s="67" t="s">
        <v>21</v>
      </c>
      <c r="Q64" s="67" t="s">
        <v>21</v>
      </c>
      <c r="R64" s="67" t="s">
        <v>21</v>
      </c>
      <c r="S64" s="67" t="s">
        <v>21</v>
      </c>
      <c r="T64" s="67" t="s">
        <v>21</v>
      </c>
      <c r="U64" s="67" t="s">
        <v>18</v>
      </c>
      <c r="V64" s="67" t="s">
        <v>21</v>
      </c>
      <c r="W64" s="67" t="s">
        <v>21</v>
      </c>
    </row>
    <row r="65" spans="1:23" s="62" customFormat="1" ht="32.450000000000003" customHeight="1" thickBot="1" x14ac:dyDescent="0.25">
      <c r="A65" s="33">
        <v>63</v>
      </c>
      <c r="B65" s="63" t="s">
        <v>141</v>
      </c>
      <c r="C65" s="63"/>
      <c r="D65" s="65" t="s">
        <v>143</v>
      </c>
      <c r="E65" s="65"/>
      <c r="F65" s="65"/>
      <c r="G65" s="65"/>
      <c r="H65" s="66"/>
      <c r="I65" s="66"/>
      <c r="J65" s="66"/>
      <c r="K65" s="66"/>
      <c r="L65" s="67" t="s">
        <v>21</v>
      </c>
      <c r="M65" s="67" t="s">
        <v>21</v>
      </c>
      <c r="N65" s="67" t="s">
        <v>21</v>
      </c>
      <c r="O65" s="67" t="s">
        <v>21</v>
      </c>
      <c r="P65" s="67" t="s">
        <v>21</v>
      </c>
      <c r="Q65" s="67" t="s">
        <v>21</v>
      </c>
      <c r="R65" s="67" t="s">
        <v>21</v>
      </c>
      <c r="S65" s="67" t="s">
        <v>21</v>
      </c>
      <c r="T65" s="67" t="s">
        <v>21</v>
      </c>
      <c r="U65" s="67" t="s">
        <v>18</v>
      </c>
      <c r="V65" s="67" t="s">
        <v>21</v>
      </c>
      <c r="W65" s="67" t="s">
        <v>21</v>
      </c>
    </row>
    <row r="66" spans="1:23" s="62" customFormat="1" ht="32.450000000000003" customHeight="1" thickBot="1" x14ac:dyDescent="0.25">
      <c r="A66" s="33">
        <v>64</v>
      </c>
      <c r="B66" s="63" t="s">
        <v>141</v>
      </c>
      <c r="C66" s="63"/>
      <c r="D66" s="65" t="s">
        <v>144</v>
      </c>
      <c r="E66" s="65"/>
      <c r="F66" s="65"/>
      <c r="G66" s="65"/>
      <c r="H66" s="66"/>
      <c r="I66" s="66"/>
      <c r="J66" s="66"/>
      <c r="K66" s="66"/>
      <c r="L66" s="67" t="s">
        <v>21</v>
      </c>
      <c r="M66" s="67" t="s">
        <v>21</v>
      </c>
      <c r="N66" s="67" t="s">
        <v>21</v>
      </c>
      <c r="O66" s="67" t="s">
        <v>21</v>
      </c>
      <c r="P66" s="67" t="s">
        <v>21</v>
      </c>
      <c r="Q66" s="67" t="s">
        <v>21</v>
      </c>
      <c r="R66" s="67" t="s">
        <v>21</v>
      </c>
      <c r="S66" s="67" t="s">
        <v>21</v>
      </c>
      <c r="T66" s="67" t="s">
        <v>21</v>
      </c>
      <c r="U66" s="67" t="s">
        <v>18</v>
      </c>
      <c r="V66" s="67" t="s">
        <v>21</v>
      </c>
      <c r="W66" s="67" t="s">
        <v>21</v>
      </c>
    </row>
    <row r="67" spans="1:23" s="62" customFormat="1" ht="32.450000000000003" customHeight="1" thickBot="1" x14ac:dyDescent="0.25">
      <c r="A67" s="33">
        <v>65</v>
      </c>
      <c r="B67" s="63" t="s">
        <v>145</v>
      </c>
      <c r="C67" s="63"/>
      <c r="D67" s="65" t="s">
        <v>146</v>
      </c>
      <c r="E67" s="65"/>
      <c r="F67" s="65"/>
      <c r="G67" s="65"/>
      <c r="H67" s="66"/>
      <c r="I67" s="66"/>
      <c r="J67" s="66"/>
      <c r="K67" s="66"/>
      <c r="L67" s="67" t="s">
        <v>21</v>
      </c>
      <c r="M67" s="67" t="s">
        <v>21</v>
      </c>
      <c r="N67" s="67" t="s">
        <v>21</v>
      </c>
      <c r="O67" s="67" t="s">
        <v>21</v>
      </c>
      <c r="P67" s="67" t="s">
        <v>21</v>
      </c>
      <c r="Q67" s="67" t="s">
        <v>21</v>
      </c>
      <c r="R67" s="67" t="s">
        <v>21</v>
      </c>
      <c r="S67" s="67" t="s">
        <v>21</v>
      </c>
      <c r="T67" s="67" t="s">
        <v>21</v>
      </c>
      <c r="U67" s="67" t="s">
        <v>18</v>
      </c>
      <c r="V67" s="67" t="s">
        <v>18</v>
      </c>
      <c r="W67" s="67" t="s">
        <v>21</v>
      </c>
    </row>
    <row r="68" spans="1:23" s="62" customFormat="1" ht="24.95" customHeight="1" thickBot="1" x14ac:dyDescent="0.25">
      <c r="A68" s="33">
        <v>66</v>
      </c>
      <c r="B68" s="74" t="s">
        <v>147</v>
      </c>
      <c r="C68" s="74"/>
      <c r="D68" s="65" t="s">
        <v>148</v>
      </c>
      <c r="E68" s="65"/>
      <c r="F68" s="65"/>
      <c r="G68" s="65"/>
      <c r="H68" s="66"/>
      <c r="I68" s="66"/>
      <c r="J68" s="66"/>
      <c r="K68" s="66"/>
      <c r="L68" s="78" t="s">
        <v>18</v>
      </c>
      <c r="M68" s="78" t="s">
        <v>21</v>
      </c>
      <c r="N68" s="78" t="s">
        <v>21</v>
      </c>
      <c r="O68" s="78" t="s">
        <v>21</v>
      </c>
      <c r="P68" s="78" t="s">
        <v>21</v>
      </c>
      <c r="Q68" s="78" t="s">
        <v>21</v>
      </c>
      <c r="R68" s="67" t="s">
        <v>21</v>
      </c>
      <c r="S68" s="78" t="s">
        <v>21</v>
      </c>
      <c r="T68" s="78" t="s">
        <v>21</v>
      </c>
      <c r="U68" s="78" t="s">
        <v>18</v>
      </c>
      <c r="V68" s="78" t="s">
        <v>21</v>
      </c>
      <c r="W68" s="67" t="s">
        <v>21</v>
      </c>
    </row>
    <row r="69" spans="1:23" s="62" customFormat="1" ht="24.95" customHeight="1" thickBot="1" x14ac:dyDescent="0.25">
      <c r="A69" s="33">
        <v>67</v>
      </c>
      <c r="B69" s="74" t="s">
        <v>147</v>
      </c>
      <c r="C69" s="74"/>
      <c r="D69" s="65" t="s">
        <v>149</v>
      </c>
      <c r="E69" s="65"/>
      <c r="F69" s="65"/>
      <c r="G69" s="65"/>
      <c r="H69" s="66"/>
      <c r="I69" s="66"/>
      <c r="J69" s="66"/>
      <c r="K69" s="66"/>
      <c r="L69" s="78" t="s">
        <v>18</v>
      </c>
      <c r="M69" s="78" t="s">
        <v>21</v>
      </c>
      <c r="N69" s="78" t="s">
        <v>21</v>
      </c>
      <c r="O69" s="78" t="s">
        <v>21</v>
      </c>
      <c r="P69" s="78" t="s">
        <v>21</v>
      </c>
      <c r="Q69" s="78" t="s">
        <v>21</v>
      </c>
      <c r="R69" s="78" t="s">
        <v>21</v>
      </c>
      <c r="S69" s="78" t="s">
        <v>21</v>
      </c>
      <c r="T69" s="78" t="s">
        <v>21</v>
      </c>
      <c r="U69" s="78" t="s">
        <v>18</v>
      </c>
      <c r="V69" s="78" t="s">
        <v>21</v>
      </c>
      <c r="W69" s="78" t="s">
        <v>21</v>
      </c>
    </row>
    <row r="70" spans="1:23" s="62" customFormat="1" ht="24.95" customHeight="1" thickBot="1" x14ac:dyDescent="0.25">
      <c r="A70" s="33">
        <v>68</v>
      </c>
      <c r="B70" s="74" t="s">
        <v>147</v>
      </c>
      <c r="C70" s="74"/>
      <c r="D70" s="65" t="s">
        <v>150</v>
      </c>
      <c r="E70" s="65"/>
      <c r="F70" s="65"/>
      <c r="G70" s="65"/>
      <c r="H70" s="66"/>
      <c r="I70" s="66"/>
      <c r="J70" s="66"/>
      <c r="K70" s="66"/>
      <c r="L70" s="78" t="s">
        <v>18</v>
      </c>
      <c r="M70" s="78" t="s">
        <v>21</v>
      </c>
      <c r="N70" s="78" t="s">
        <v>21</v>
      </c>
      <c r="O70" s="78" t="s">
        <v>21</v>
      </c>
      <c r="P70" s="78" t="s">
        <v>21</v>
      </c>
      <c r="Q70" s="78" t="s">
        <v>21</v>
      </c>
      <c r="R70" s="78" t="s">
        <v>21</v>
      </c>
      <c r="S70" s="78" t="s">
        <v>21</v>
      </c>
      <c r="T70" s="78" t="s">
        <v>21</v>
      </c>
      <c r="U70" s="78" t="s">
        <v>18</v>
      </c>
      <c r="V70" s="78" t="s">
        <v>21</v>
      </c>
      <c r="W70" s="78" t="s">
        <v>21</v>
      </c>
    </row>
    <row r="71" spans="1:23" s="62" customFormat="1" ht="24.95" customHeight="1" thickBot="1" x14ac:dyDescent="0.25">
      <c r="A71" s="33">
        <v>69</v>
      </c>
      <c r="B71" s="74" t="s">
        <v>147</v>
      </c>
      <c r="C71" s="74"/>
      <c r="D71" s="65" t="s">
        <v>151</v>
      </c>
      <c r="E71" s="65"/>
      <c r="F71" s="65"/>
      <c r="G71" s="65"/>
      <c r="H71" s="66"/>
      <c r="I71" s="66"/>
      <c r="J71" s="66"/>
      <c r="K71" s="66"/>
      <c r="L71" s="78" t="s">
        <v>18</v>
      </c>
      <c r="M71" s="78" t="s">
        <v>21</v>
      </c>
      <c r="N71" s="78" t="s">
        <v>21</v>
      </c>
      <c r="O71" s="78" t="s">
        <v>21</v>
      </c>
      <c r="P71" s="78" t="s">
        <v>21</v>
      </c>
      <c r="Q71" s="78" t="s">
        <v>21</v>
      </c>
      <c r="R71" s="78" t="s">
        <v>21</v>
      </c>
      <c r="S71" s="78" t="s">
        <v>21</v>
      </c>
      <c r="T71" s="78" t="s">
        <v>21</v>
      </c>
      <c r="U71" s="78" t="s">
        <v>18</v>
      </c>
      <c r="V71" s="78" t="s">
        <v>21</v>
      </c>
      <c r="W71" s="78" t="s">
        <v>21</v>
      </c>
    </row>
    <row r="72" spans="1:23" s="62" customFormat="1" ht="24.95" customHeight="1" thickBot="1" x14ac:dyDescent="0.25">
      <c r="A72" s="33">
        <v>70</v>
      </c>
      <c r="B72" s="74" t="s">
        <v>147</v>
      </c>
      <c r="C72" s="74"/>
      <c r="D72" s="65" t="s">
        <v>152</v>
      </c>
      <c r="E72" s="65"/>
      <c r="F72" s="65"/>
      <c r="G72" s="65"/>
      <c r="H72" s="66"/>
      <c r="I72" s="66"/>
      <c r="J72" s="66"/>
      <c r="K72" s="66"/>
      <c r="L72" s="78" t="s">
        <v>21</v>
      </c>
      <c r="M72" s="78" t="s">
        <v>21</v>
      </c>
      <c r="N72" s="78" t="s">
        <v>21</v>
      </c>
      <c r="O72" s="78" t="s">
        <v>21</v>
      </c>
      <c r="P72" s="78" t="s">
        <v>21</v>
      </c>
      <c r="Q72" s="78" t="s">
        <v>21</v>
      </c>
      <c r="R72" s="78" t="s">
        <v>21</v>
      </c>
      <c r="S72" s="78" t="s">
        <v>21</v>
      </c>
      <c r="T72" s="78" t="s">
        <v>21</v>
      </c>
      <c r="U72" s="78" t="s">
        <v>18</v>
      </c>
      <c r="V72" s="78" t="s">
        <v>21</v>
      </c>
      <c r="W72" s="78" t="s">
        <v>21</v>
      </c>
    </row>
    <row r="73" spans="1:23" s="62" customFormat="1" ht="24.95" customHeight="1" thickBot="1" x14ac:dyDescent="0.25">
      <c r="A73" s="33">
        <v>71</v>
      </c>
      <c r="B73" s="74" t="s">
        <v>147</v>
      </c>
      <c r="C73" s="74"/>
      <c r="D73" s="65" t="s">
        <v>153</v>
      </c>
      <c r="E73" s="65"/>
      <c r="F73" s="65"/>
      <c r="G73" s="65"/>
      <c r="H73" s="66"/>
      <c r="I73" s="66"/>
      <c r="J73" s="66"/>
      <c r="K73" s="66"/>
      <c r="L73" s="78" t="s">
        <v>21</v>
      </c>
      <c r="M73" s="78" t="s">
        <v>21</v>
      </c>
      <c r="N73" s="78" t="s">
        <v>21</v>
      </c>
      <c r="O73" s="78" t="s">
        <v>21</v>
      </c>
      <c r="P73" s="78" t="s">
        <v>21</v>
      </c>
      <c r="Q73" s="78" t="s">
        <v>21</v>
      </c>
      <c r="R73" s="78" t="s">
        <v>21</v>
      </c>
      <c r="S73" s="78" t="s">
        <v>21</v>
      </c>
      <c r="T73" s="78" t="s">
        <v>21</v>
      </c>
      <c r="U73" s="78" t="s">
        <v>18</v>
      </c>
      <c r="V73" s="78" t="s">
        <v>21</v>
      </c>
      <c r="W73" s="78" t="s">
        <v>21</v>
      </c>
    </row>
    <row r="74" spans="1:23" s="62" customFormat="1" ht="24.95" customHeight="1" thickBot="1" x14ac:dyDescent="0.25">
      <c r="A74" s="33">
        <v>72</v>
      </c>
      <c r="B74" s="74" t="s">
        <v>154</v>
      </c>
      <c r="C74" s="74"/>
      <c r="D74" s="65" t="s">
        <v>155</v>
      </c>
      <c r="E74" s="65"/>
      <c r="F74" s="65"/>
      <c r="G74" s="65"/>
      <c r="H74" s="66"/>
      <c r="I74" s="66"/>
      <c r="J74" s="66"/>
      <c r="K74" s="66"/>
      <c r="L74" s="67" t="s">
        <v>18</v>
      </c>
      <c r="M74" s="67" t="s">
        <v>18</v>
      </c>
      <c r="N74" s="67" t="s">
        <v>21</v>
      </c>
      <c r="O74" s="67" t="s">
        <v>18</v>
      </c>
      <c r="P74" s="67" t="s">
        <v>18</v>
      </c>
      <c r="Q74" s="67" t="s">
        <v>18</v>
      </c>
      <c r="R74" s="67" t="s">
        <v>18</v>
      </c>
      <c r="S74" s="67" t="s">
        <v>18</v>
      </c>
      <c r="T74" s="67" t="s">
        <v>18</v>
      </c>
      <c r="U74" s="67" t="s">
        <v>18</v>
      </c>
      <c r="V74" s="67" t="s">
        <v>18</v>
      </c>
      <c r="W74" s="67" t="s">
        <v>18</v>
      </c>
    </row>
    <row r="75" spans="1:23" s="62" customFormat="1" ht="24.95" customHeight="1" thickBot="1" x14ac:dyDescent="0.25">
      <c r="A75" s="33">
        <v>73</v>
      </c>
      <c r="B75" s="74" t="s">
        <v>154</v>
      </c>
      <c r="C75" s="74"/>
      <c r="D75" s="65" t="s">
        <v>156</v>
      </c>
      <c r="E75" s="65"/>
      <c r="F75" s="65"/>
      <c r="G75" s="65"/>
      <c r="H75" s="66"/>
      <c r="I75" s="66"/>
      <c r="J75" s="66"/>
      <c r="K75" s="66"/>
      <c r="L75" s="67" t="s">
        <v>18</v>
      </c>
      <c r="M75" s="67" t="s">
        <v>18</v>
      </c>
      <c r="N75" s="67" t="s">
        <v>21</v>
      </c>
      <c r="O75" s="67" t="s">
        <v>18</v>
      </c>
      <c r="P75" s="67" t="s">
        <v>18</v>
      </c>
      <c r="Q75" s="67" t="s">
        <v>18</v>
      </c>
      <c r="R75" s="67" t="s">
        <v>18</v>
      </c>
      <c r="S75" s="67" t="s">
        <v>18</v>
      </c>
      <c r="T75" s="67" t="s">
        <v>18</v>
      </c>
      <c r="U75" s="67" t="s">
        <v>18</v>
      </c>
      <c r="V75" s="67" t="s">
        <v>18</v>
      </c>
      <c r="W75" s="67" t="s">
        <v>18</v>
      </c>
    </row>
    <row r="76" spans="1:23" s="62" customFormat="1" ht="24.95" customHeight="1" thickBot="1" x14ac:dyDescent="0.25">
      <c r="A76" s="33">
        <v>74</v>
      </c>
      <c r="B76" s="74" t="s">
        <v>154</v>
      </c>
      <c r="C76" s="74"/>
      <c r="D76" s="65" t="s">
        <v>157</v>
      </c>
      <c r="E76" s="65"/>
      <c r="F76" s="65"/>
      <c r="G76" s="65"/>
      <c r="H76" s="66"/>
      <c r="I76" s="66"/>
      <c r="J76" s="66"/>
      <c r="K76" s="66"/>
      <c r="L76" s="67" t="s">
        <v>18</v>
      </c>
      <c r="M76" s="67" t="s">
        <v>18</v>
      </c>
      <c r="N76" s="67" t="s">
        <v>21</v>
      </c>
      <c r="O76" s="67" t="s">
        <v>18</v>
      </c>
      <c r="P76" s="67" t="s">
        <v>18</v>
      </c>
      <c r="Q76" s="67" t="s">
        <v>18</v>
      </c>
      <c r="R76" s="67" t="s">
        <v>18</v>
      </c>
      <c r="S76" s="67" t="s">
        <v>18</v>
      </c>
      <c r="T76" s="67" t="s">
        <v>18</v>
      </c>
      <c r="U76" s="67" t="s">
        <v>18</v>
      </c>
      <c r="V76" s="67" t="s">
        <v>18</v>
      </c>
      <c r="W76" s="67" t="s">
        <v>18</v>
      </c>
    </row>
    <row r="77" spans="1:23" s="62" customFormat="1" ht="24.95" customHeight="1" thickBot="1" x14ac:dyDescent="0.25">
      <c r="A77" s="33">
        <v>75</v>
      </c>
      <c r="B77" s="74" t="s">
        <v>154</v>
      </c>
      <c r="C77" s="74"/>
      <c r="D77" s="65" t="s">
        <v>158</v>
      </c>
      <c r="E77" s="65"/>
      <c r="F77" s="65"/>
      <c r="G77" s="65"/>
      <c r="H77" s="66"/>
      <c r="I77" s="66"/>
      <c r="J77" s="66"/>
      <c r="K77" s="66"/>
      <c r="L77" s="67" t="s">
        <v>18</v>
      </c>
      <c r="M77" s="67" t="s">
        <v>18</v>
      </c>
      <c r="N77" s="67" t="s">
        <v>21</v>
      </c>
      <c r="O77" s="67" t="s">
        <v>18</v>
      </c>
      <c r="P77" s="67" t="s">
        <v>18</v>
      </c>
      <c r="Q77" s="67" t="s">
        <v>18</v>
      </c>
      <c r="R77" s="67" t="s">
        <v>18</v>
      </c>
      <c r="S77" s="67" t="s">
        <v>18</v>
      </c>
      <c r="T77" s="67" t="s">
        <v>18</v>
      </c>
      <c r="U77" s="67" t="s">
        <v>18</v>
      </c>
      <c r="V77" s="67" t="s">
        <v>18</v>
      </c>
      <c r="W77" s="67" t="s">
        <v>18</v>
      </c>
    </row>
    <row r="78" spans="1:23" s="62" customFormat="1" ht="24.95" customHeight="1" thickBot="1" x14ac:dyDescent="0.25">
      <c r="A78" s="33">
        <v>76</v>
      </c>
      <c r="B78" s="74" t="s">
        <v>154</v>
      </c>
      <c r="C78" s="74"/>
      <c r="D78" s="65" t="s">
        <v>159</v>
      </c>
      <c r="E78" s="65"/>
      <c r="F78" s="65"/>
      <c r="G78" s="65"/>
      <c r="H78" s="66"/>
      <c r="I78" s="66"/>
      <c r="J78" s="66"/>
      <c r="K78" s="66"/>
      <c r="L78" s="67" t="s">
        <v>25</v>
      </c>
      <c r="M78" s="67" t="s">
        <v>18</v>
      </c>
      <c r="N78" s="67" t="s">
        <v>21</v>
      </c>
      <c r="O78" s="67" t="s">
        <v>18</v>
      </c>
      <c r="P78" s="67" t="s">
        <v>18</v>
      </c>
      <c r="Q78" s="67" t="s">
        <v>18</v>
      </c>
      <c r="R78" s="67" t="s">
        <v>18</v>
      </c>
      <c r="S78" s="67" t="s">
        <v>18</v>
      </c>
      <c r="T78" s="67" t="s">
        <v>18</v>
      </c>
      <c r="U78" s="67" t="s">
        <v>18</v>
      </c>
      <c r="V78" s="67" t="s">
        <v>18</v>
      </c>
      <c r="W78" s="67" t="s">
        <v>18</v>
      </c>
    </row>
    <row r="79" spans="1:23" s="62" customFormat="1" ht="24.95" customHeight="1" thickBot="1" x14ac:dyDescent="0.25">
      <c r="A79" s="33">
        <v>77</v>
      </c>
      <c r="B79" s="74" t="s">
        <v>154</v>
      </c>
      <c r="C79" s="74"/>
      <c r="D79" s="65" t="s">
        <v>160</v>
      </c>
      <c r="E79" s="65"/>
      <c r="F79" s="65"/>
      <c r="G79" s="65"/>
      <c r="H79" s="66"/>
      <c r="I79" s="66"/>
      <c r="J79" s="66"/>
      <c r="K79" s="66"/>
      <c r="L79" s="67" t="s">
        <v>18</v>
      </c>
      <c r="M79" s="67" t="s">
        <v>18</v>
      </c>
      <c r="N79" s="67" t="s">
        <v>21</v>
      </c>
      <c r="O79" s="67" t="s">
        <v>18</v>
      </c>
      <c r="P79" s="67" t="s">
        <v>18</v>
      </c>
      <c r="Q79" s="67" t="s">
        <v>18</v>
      </c>
      <c r="R79" s="67" t="s">
        <v>18</v>
      </c>
      <c r="S79" s="67" t="s">
        <v>18</v>
      </c>
      <c r="T79" s="67" t="s">
        <v>18</v>
      </c>
      <c r="U79" s="67" t="s">
        <v>18</v>
      </c>
      <c r="V79" s="67" t="s">
        <v>18</v>
      </c>
      <c r="W79" s="67" t="s">
        <v>18</v>
      </c>
    </row>
    <row r="80" spans="1:23" s="62" customFormat="1" ht="24.95" customHeight="1" thickBot="1" x14ac:dyDescent="0.25">
      <c r="A80" s="33">
        <v>78</v>
      </c>
      <c r="B80" s="74" t="s">
        <v>154</v>
      </c>
      <c r="C80" s="74"/>
      <c r="D80" s="65" t="s">
        <v>161</v>
      </c>
      <c r="E80" s="65"/>
      <c r="F80" s="65"/>
      <c r="G80" s="65"/>
      <c r="H80" s="66"/>
      <c r="I80" s="66"/>
      <c r="J80" s="66"/>
      <c r="K80" s="66"/>
      <c r="L80" s="67" t="s">
        <v>18</v>
      </c>
      <c r="M80" s="67" t="s">
        <v>18</v>
      </c>
      <c r="N80" s="67" t="s">
        <v>21</v>
      </c>
      <c r="O80" s="67" t="s">
        <v>25</v>
      </c>
      <c r="P80" s="67" t="s">
        <v>18</v>
      </c>
      <c r="Q80" s="67" t="s">
        <v>18</v>
      </c>
      <c r="R80" s="67" t="s">
        <v>18</v>
      </c>
      <c r="S80" s="67" t="s">
        <v>18</v>
      </c>
      <c r="T80" s="67" t="s">
        <v>18</v>
      </c>
      <c r="U80" s="67" t="s">
        <v>18</v>
      </c>
      <c r="V80" s="67" t="s">
        <v>18</v>
      </c>
      <c r="W80" s="67" t="s">
        <v>18</v>
      </c>
    </row>
    <row r="81" spans="1:25" s="62" customFormat="1" ht="24.95" customHeight="1" thickBot="1" x14ac:dyDescent="0.25">
      <c r="A81" s="33">
        <v>79</v>
      </c>
      <c r="B81" s="74" t="s">
        <v>154</v>
      </c>
      <c r="C81" s="74"/>
      <c r="D81" s="65" t="s">
        <v>162</v>
      </c>
      <c r="E81" s="65"/>
      <c r="F81" s="65"/>
      <c r="G81" s="65"/>
      <c r="H81" s="66"/>
      <c r="I81" s="66"/>
      <c r="J81" s="66"/>
      <c r="K81" s="66"/>
      <c r="L81" s="67" t="s">
        <v>18</v>
      </c>
      <c r="M81" s="67" t="s">
        <v>18</v>
      </c>
      <c r="N81" s="67" t="s">
        <v>21</v>
      </c>
      <c r="O81" s="67" t="s">
        <v>18</v>
      </c>
      <c r="P81" s="67" t="s">
        <v>18</v>
      </c>
      <c r="Q81" s="67" t="s">
        <v>18</v>
      </c>
      <c r="R81" s="67" t="s">
        <v>18</v>
      </c>
      <c r="S81" s="67" t="s">
        <v>18</v>
      </c>
      <c r="T81" s="67" t="s">
        <v>18</v>
      </c>
      <c r="U81" s="67" t="s">
        <v>18</v>
      </c>
      <c r="V81" s="67" t="s">
        <v>18</v>
      </c>
      <c r="W81" s="67" t="s">
        <v>18</v>
      </c>
    </row>
    <row r="82" spans="1:25" s="62" customFormat="1" ht="24.95" customHeight="1" thickBot="1" x14ac:dyDescent="0.25">
      <c r="A82" s="33">
        <v>80</v>
      </c>
      <c r="B82" s="74" t="s">
        <v>154</v>
      </c>
      <c r="C82" s="74"/>
      <c r="D82" s="65" t="s">
        <v>163</v>
      </c>
      <c r="E82" s="65"/>
      <c r="F82" s="65"/>
      <c r="G82" s="65"/>
      <c r="H82" s="66"/>
      <c r="I82" s="66"/>
      <c r="J82" s="66"/>
      <c r="K82" s="66"/>
      <c r="L82" s="67" t="s">
        <v>18</v>
      </c>
      <c r="M82" s="67" t="s">
        <v>18</v>
      </c>
      <c r="N82" s="67" t="s">
        <v>18</v>
      </c>
      <c r="O82" s="67" t="s">
        <v>18</v>
      </c>
      <c r="P82" s="67" t="s">
        <v>18</v>
      </c>
      <c r="Q82" s="67" t="s">
        <v>18</v>
      </c>
      <c r="R82" s="67" t="s">
        <v>18</v>
      </c>
      <c r="S82" s="67" t="s">
        <v>18</v>
      </c>
      <c r="T82" s="67" t="s">
        <v>18</v>
      </c>
      <c r="U82" s="67" t="s">
        <v>18</v>
      </c>
      <c r="V82" s="67" t="s">
        <v>18</v>
      </c>
      <c r="W82" s="67" t="s">
        <v>18</v>
      </c>
    </row>
    <row r="83" spans="1:25" s="62" customFormat="1" ht="24.95" customHeight="1" thickBot="1" x14ac:dyDescent="0.25">
      <c r="A83" s="33">
        <v>81</v>
      </c>
      <c r="B83" s="74" t="s">
        <v>154</v>
      </c>
      <c r="C83" s="74"/>
      <c r="D83" s="65" t="s">
        <v>164</v>
      </c>
      <c r="E83" s="65"/>
      <c r="F83" s="65"/>
      <c r="G83" s="65"/>
      <c r="H83" s="66"/>
      <c r="I83" s="66"/>
      <c r="J83" s="66"/>
      <c r="K83" s="66"/>
      <c r="L83" s="67" t="s">
        <v>18</v>
      </c>
      <c r="M83" s="67" t="s">
        <v>18</v>
      </c>
      <c r="N83" s="67" t="s">
        <v>18</v>
      </c>
      <c r="O83" s="67" t="s">
        <v>18</v>
      </c>
      <c r="P83" s="67" t="s">
        <v>18</v>
      </c>
      <c r="Q83" s="67" t="s">
        <v>18</v>
      </c>
      <c r="R83" s="67" t="s">
        <v>18</v>
      </c>
      <c r="S83" s="67" t="s">
        <v>18</v>
      </c>
      <c r="T83" s="67" t="s">
        <v>18</v>
      </c>
      <c r="U83" s="67" t="s">
        <v>18</v>
      </c>
      <c r="V83" s="67" t="s">
        <v>18</v>
      </c>
      <c r="W83" s="67" t="s">
        <v>18</v>
      </c>
    </row>
    <row r="84" spans="1:25" s="62" customFormat="1" ht="24.95" customHeight="1" thickBot="1" x14ac:dyDescent="0.25">
      <c r="A84" s="33">
        <v>82</v>
      </c>
      <c r="B84" s="74" t="s">
        <v>154</v>
      </c>
      <c r="C84" s="74"/>
      <c r="D84" s="65" t="s">
        <v>165</v>
      </c>
      <c r="E84" s="65"/>
      <c r="F84" s="65"/>
      <c r="G84" s="65"/>
      <c r="H84" s="66"/>
      <c r="I84" s="66"/>
      <c r="J84" s="66"/>
      <c r="K84" s="66"/>
      <c r="L84" s="67" t="s">
        <v>18</v>
      </c>
      <c r="M84" s="67" t="s">
        <v>18</v>
      </c>
      <c r="N84" s="67" t="s">
        <v>18</v>
      </c>
      <c r="O84" s="67" t="s">
        <v>18</v>
      </c>
      <c r="P84" s="67" t="s">
        <v>18</v>
      </c>
      <c r="Q84" s="67" t="s">
        <v>18</v>
      </c>
      <c r="R84" s="67" t="s">
        <v>18</v>
      </c>
      <c r="S84" s="67" t="s">
        <v>25</v>
      </c>
      <c r="T84" s="67" t="s">
        <v>18</v>
      </c>
      <c r="U84" s="67" t="s">
        <v>18</v>
      </c>
      <c r="V84" s="67" t="s">
        <v>18</v>
      </c>
      <c r="W84" s="67" t="s">
        <v>18</v>
      </c>
    </row>
    <row r="85" spans="1:25" s="62" customFormat="1" ht="24.95" customHeight="1" thickBot="1" x14ac:dyDescent="0.25">
      <c r="A85" s="33">
        <v>83</v>
      </c>
      <c r="B85" s="74" t="s">
        <v>166</v>
      </c>
      <c r="C85" s="74"/>
      <c r="D85" s="65" t="s">
        <v>167</v>
      </c>
      <c r="E85" s="65"/>
      <c r="F85" s="65"/>
      <c r="G85" s="65"/>
      <c r="H85" s="66"/>
      <c r="I85" s="66"/>
      <c r="J85" s="66"/>
      <c r="K85" s="66"/>
      <c r="L85" s="67" t="s">
        <v>21</v>
      </c>
      <c r="M85" s="67" t="s">
        <v>21</v>
      </c>
      <c r="N85" s="67" t="s">
        <v>21</v>
      </c>
      <c r="O85" s="67" t="s">
        <v>21</v>
      </c>
      <c r="P85" s="67" t="s">
        <v>21</v>
      </c>
      <c r="Q85" s="67" t="s">
        <v>21</v>
      </c>
      <c r="R85" s="67" t="s">
        <v>21</v>
      </c>
      <c r="S85" s="67" t="s">
        <v>21</v>
      </c>
      <c r="T85" s="67" t="s">
        <v>21</v>
      </c>
      <c r="U85" s="67" t="s">
        <v>25</v>
      </c>
      <c r="V85" s="67" t="s">
        <v>21</v>
      </c>
      <c r="W85" s="67" t="s">
        <v>21</v>
      </c>
    </row>
    <row r="86" spans="1:25" s="62" customFormat="1" ht="24.95" customHeight="1" thickBot="1" x14ac:dyDescent="0.25">
      <c r="A86" s="33">
        <v>84</v>
      </c>
      <c r="B86" s="74" t="s">
        <v>166</v>
      </c>
      <c r="C86" s="74"/>
      <c r="D86" s="65" t="s">
        <v>168</v>
      </c>
      <c r="E86" s="65"/>
      <c r="F86" s="65"/>
      <c r="G86" s="65"/>
      <c r="H86" s="66"/>
      <c r="I86" s="66"/>
      <c r="J86" s="66"/>
      <c r="K86" s="66"/>
      <c r="L86" s="67" t="s">
        <v>21</v>
      </c>
      <c r="M86" s="67" t="s">
        <v>21</v>
      </c>
      <c r="N86" s="67" t="s">
        <v>21</v>
      </c>
      <c r="O86" s="67" t="s">
        <v>21</v>
      </c>
      <c r="P86" s="67" t="s">
        <v>21</v>
      </c>
      <c r="Q86" s="67" t="s">
        <v>21</v>
      </c>
      <c r="R86" s="67" t="s">
        <v>21</v>
      </c>
      <c r="S86" s="67" t="s">
        <v>18</v>
      </c>
      <c r="T86" s="67" t="s">
        <v>21</v>
      </c>
      <c r="U86" s="67" t="s">
        <v>18</v>
      </c>
      <c r="V86" s="67" t="s">
        <v>21</v>
      </c>
      <c r="W86" s="67" t="s">
        <v>21</v>
      </c>
    </row>
    <row r="87" spans="1:25" s="62" customFormat="1" ht="24.95" customHeight="1" thickBot="1" x14ac:dyDescent="0.25">
      <c r="A87" s="33">
        <v>85</v>
      </c>
      <c r="B87" s="75" t="s">
        <v>169</v>
      </c>
      <c r="C87" s="75"/>
      <c r="D87" s="76" t="s">
        <v>170</v>
      </c>
      <c r="E87" s="76"/>
      <c r="F87" s="76"/>
      <c r="G87" s="76"/>
      <c r="H87" s="77"/>
      <c r="I87" s="77"/>
      <c r="J87" s="77"/>
      <c r="K87" s="77"/>
      <c r="L87" s="78" t="s">
        <v>18</v>
      </c>
      <c r="M87" s="78" t="s">
        <v>18</v>
      </c>
      <c r="N87" s="78" t="s">
        <v>18</v>
      </c>
      <c r="O87" s="78" t="s">
        <v>18</v>
      </c>
      <c r="P87" s="78" t="s">
        <v>18</v>
      </c>
      <c r="Q87" s="78" t="s">
        <v>18</v>
      </c>
      <c r="R87" s="78" t="s">
        <v>18</v>
      </c>
      <c r="S87" s="78" t="s">
        <v>18</v>
      </c>
      <c r="T87" s="78" t="s">
        <v>18</v>
      </c>
      <c r="U87" s="78" t="s">
        <v>18</v>
      </c>
      <c r="V87" s="78" t="s">
        <v>18</v>
      </c>
      <c r="W87" s="78" t="s">
        <v>18</v>
      </c>
    </row>
    <row r="88" spans="1:25" s="62" customFormat="1" ht="24.95" customHeight="1" thickBot="1" x14ac:dyDescent="0.25">
      <c r="A88" s="33">
        <v>86</v>
      </c>
      <c r="B88" s="84" t="s">
        <v>171</v>
      </c>
      <c r="C88" s="84"/>
      <c r="D88" s="83" t="s">
        <v>172</v>
      </c>
      <c r="E88" s="83"/>
      <c r="F88" s="83"/>
      <c r="G88" s="83"/>
      <c r="H88" s="86"/>
      <c r="I88" s="86"/>
      <c r="J88" s="86"/>
      <c r="K88" s="86"/>
      <c r="L88" s="67" t="s">
        <v>18</v>
      </c>
      <c r="M88" s="67" t="s">
        <v>18</v>
      </c>
      <c r="N88" s="67" t="s">
        <v>18</v>
      </c>
      <c r="O88" s="67" t="s">
        <v>18</v>
      </c>
      <c r="P88" s="67" t="s">
        <v>18</v>
      </c>
      <c r="Q88" s="67" t="s">
        <v>18</v>
      </c>
      <c r="R88" s="67" t="s">
        <v>18</v>
      </c>
      <c r="S88" s="67" t="s">
        <v>18</v>
      </c>
      <c r="T88" s="67" t="s">
        <v>18</v>
      </c>
      <c r="U88" s="67" t="s">
        <v>18</v>
      </c>
      <c r="V88" s="67" t="s">
        <v>18</v>
      </c>
      <c r="W88" s="67" t="s">
        <v>18</v>
      </c>
    </row>
    <row r="89" spans="1:25" s="62" customFormat="1" ht="32.450000000000003" customHeight="1" x14ac:dyDescent="0.2">
      <c r="A89" s="33">
        <v>87</v>
      </c>
      <c r="B89" s="63" t="s">
        <v>63</v>
      </c>
      <c r="C89" s="63"/>
      <c r="D89" s="65" t="s">
        <v>173</v>
      </c>
      <c r="E89" s="65"/>
      <c r="F89" s="65"/>
      <c r="G89" s="65"/>
      <c r="H89" s="66"/>
      <c r="I89" s="66"/>
      <c r="J89" s="66"/>
      <c r="K89" s="66"/>
      <c r="L89" s="67" t="s">
        <v>18</v>
      </c>
      <c r="M89" s="67" t="s">
        <v>21</v>
      </c>
      <c r="N89" s="67" t="s">
        <v>21</v>
      </c>
      <c r="O89" s="67" t="s">
        <v>96</v>
      </c>
      <c r="P89" s="67" t="s">
        <v>21</v>
      </c>
      <c r="Q89" s="67" t="s">
        <v>21</v>
      </c>
      <c r="R89" s="67" t="s">
        <v>21</v>
      </c>
      <c r="S89" s="67" t="s">
        <v>25</v>
      </c>
      <c r="T89" s="67" t="s">
        <v>18</v>
      </c>
      <c r="U89" s="67" t="s">
        <v>21</v>
      </c>
      <c r="V89" s="67" t="s">
        <v>25</v>
      </c>
      <c r="W89" s="67" t="s">
        <v>18</v>
      </c>
    </row>
    <row r="90" spans="1:25" ht="30" customHeight="1" thickBot="1" x14ac:dyDescent="0.3">
      <c r="A90" s="96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</row>
    <row r="91" spans="1:25" x14ac:dyDescent="0.2">
      <c r="F91" s="99" t="s">
        <v>18</v>
      </c>
      <c r="G91" s="100" t="s">
        <v>174</v>
      </c>
      <c r="H91" s="101"/>
      <c r="I91" s="102"/>
      <c r="K91" s="103" t="s">
        <v>18</v>
      </c>
      <c r="L91" s="23">
        <f>COUNTIF(L3:L89,"s")</f>
        <v>51</v>
      </c>
      <c r="M91" s="23">
        <f t="shared" ref="M91:W91" si="0">COUNTIF(M3:M89,"s")</f>
        <v>24</v>
      </c>
      <c r="N91" s="23">
        <f t="shared" si="0"/>
        <v>29</v>
      </c>
      <c r="O91" s="23">
        <f t="shared" si="0"/>
        <v>33</v>
      </c>
      <c r="P91" s="23">
        <f t="shared" si="0"/>
        <v>46</v>
      </c>
      <c r="Q91" s="23">
        <f t="shared" si="0"/>
        <v>38</v>
      </c>
      <c r="R91" s="23">
        <f t="shared" si="0"/>
        <v>34</v>
      </c>
      <c r="S91" s="23">
        <f t="shared" si="0"/>
        <v>35</v>
      </c>
      <c r="T91" s="23">
        <f t="shared" si="0"/>
        <v>33</v>
      </c>
      <c r="U91" s="23">
        <f t="shared" si="0"/>
        <v>55</v>
      </c>
      <c r="V91" s="23">
        <f>COUNTIF(V3:V89,"s")</f>
        <v>34</v>
      </c>
      <c r="W91" s="23">
        <f t="shared" si="0"/>
        <v>25</v>
      </c>
      <c r="X91" s="2">
        <f>SUM(L91:W91)</f>
        <v>437</v>
      </c>
      <c r="Y91" s="21">
        <f>X91/$X$94</f>
        <v>0.87225548902195604</v>
      </c>
    </row>
    <row r="92" spans="1:25" x14ac:dyDescent="0.2">
      <c r="F92" s="104" t="s">
        <v>25</v>
      </c>
      <c r="G92" s="105" t="s">
        <v>175</v>
      </c>
      <c r="H92" s="98"/>
      <c r="I92" s="106"/>
      <c r="K92" s="103" t="s">
        <v>25</v>
      </c>
      <c r="L92" s="23">
        <f>COUNTIF(L3:L89,"N")</f>
        <v>16</v>
      </c>
      <c r="M92" s="23">
        <f t="shared" ref="M92:W92" si="1">COUNTIF(M3:M89,"N")</f>
        <v>3</v>
      </c>
      <c r="N92" s="23">
        <f t="shared" si="1"/>
        <v>3</v>
      </c>
      <c r="O92" s="23">
        <f t="shared" si="1"/>
        <v>11</v>
      </c>
      <c r="P92" s="23">
        <f t="shared" si="1"/>
        <v>2</v>
      </c>
      <c r="Q92" s="23">
        <f t="shared" si="1"/>
        <v>6</v>
      </c>
      <c r="R92" s="23">
        <f t="shared" si="1"/>
        <v>1</v>
      </c>
      <c r="S92" s="23">
        <f t="shared" si="1"/>
        <v>7</v>
      </c>
      <c r="T92" s="23">
        <f t="shared" si="1"/>
        <v>2</v>
      </c>
      <c r="U92" s="23">
        <f t="shared" si="1"/>
        <v>5</v>
      </c>
      <c r="V92" s="23">
        <f>COUNTIF(V3:V89,"N")</f>
        <v>5</v>
      </c>
      <c r="W92" s="23">
        <f t="shared" si="1"/>
        <v>3</v>
      </c>
      <c r="X92" s="2">
        <f t="shared" ref="X92:X93" si="2">SUM(L92:W92)</f>
        <v>64</v>
      </c>
      <c r="Y92" s="21">
        <f>X92/$X$94</f>
        <v>0.1277445109780439</v>
      </c>
    </row>
    <row r="93" spans="1:25" ht="13.5" thickBot="1" x14ac:dyDescent="0.25">
      <c r="F93" s="107" t="s">
        <v>21</v>
      </c>
      <c r="G93" s="108" t="s">
        <v>176</v>
      </c>
      <c r="H93" s="109"/>
      <c r="I93" s="110"/>
      <c r="K93" s="103" t="s">
        <v>21</v>
      </c>
      <c r="L93" s="23">
        <f>COUNTIF(L3:L89,"NA")</f>
        <v>20</v>
      </c>
      <c r="M93" s="23">
        <f t="shared" ref="M93:W93" si="3">COUNTIF(M3:M89,"NA")</f>
        <v>59</v>
      </c>
      <c r="N93" s="23">
        <f t="shared" si="3"/>
        <v>54</v>
      </c>
      <c r="O93" s="23">
        <f t="shared" si="3"/>
        <v>43</v>
      </c>
      <c r="P93" s="23">
        <f t="shared" si="3"/>
        <v>39</v>
      </c>
      <c r="Q93" s="23">
        <f t="shared" si="3"/>
        <v>43</v>
      </c>
      <c r="R93" s="23">
        <f t="shared" si="3"/>
        <v>52</v>
      </c>
      <c r="S93" s="23">
        <f t="shared" si="3"/>
        <v>44</v>
      </c>
      <c r="T93" s="23">
        <f t="shared" si="3"/>
        <v>52</v>
      </c>
      <c r="U93" s="23">
        <f t="shared" si="3"/>
        <v>27</v>
      </c>
      <c r="V93" s="23">
        <f>COUNTIF(V3:V89,"NA")</f>
        <v>48</v>
      </c>
      <c r="W93" s="23">
        <f t="shared" si="3"/>
        <v>59</v>
      </c>
      <c r="X93" s="2">
        <f t="shared" si="2"/>
        <v>540</v>
      </c>
    </row>
    <row r="94" spans="1:25" x14ac:dyDescent="0.25">
      <c r="A94" s="2"/>
      <c r="X94" s="2">
        <f>SUM(X91:X92)</f>
        <v>501</v>
      </c>
    </row>
    <row r="95" spans="1:25" ht="13.5" thickBot="1" x14ac:dyDescent="0.3">
      <c r="A95" s="2"/>
    </row>
    <row r="96" spans="1:25" ht="15" customHeight="1" x14ac:dyDescent="0.25">
      <c r="A96" s="2"/>
      <c r="L96" s="111" t="s">
        <v>177</v>
      </c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</row>
    <row r="97" spans="1:23" ht="15" customHeight="1" x14ac:dyDescent="0.25">
      <c r="A97" s="2"/>
      <c r="L97" s="113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</row>
    <row r="98" spans="1:23" ht="13.5" customHeight="1" thickBot="1" x14ac:dyDescent="0.3">
      <c r="A98" s="2"/>
      <c r="L98" s="113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</row>
    <row r="99" spans="1:23" ht="12.75" customHeight="1" thickBot="1" x14ac:dyDescent="0.3">
      <c r="A99" s="115"/>
      <c r="B99" s="116"/>
      <c r="C99" s="26" t="s">
        <v>178</v>
      </c>
      <c r="D99" s="27"/>
      <c r="E99" s="27"/>
      <c r="F99" s="28"/>
      <c r="L99" s="113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</row>
    <row r="100" spans="1:23" ht="15" customHeight="1" x14ac:dyDescent="0.25">
      <c r="A100" s="117"/>
      <c r="B100" s="118"/>
      <c r="C100" s="119" t="s">
        <v>51</v>
      </c>
      <c r="D100" s="120" t="s">
        <v>52</v>
      </c>
      <c r="E100" s="121" t="s">
        <v>53</v>
      </c>
      <c r="F100" s="122" t="s">
        <v>54</v>
      </c>
      <c r="G100" s="123" t="s">
        <v>55</v>
      </c>
      <c r="H100" s="124"/>
      <c r="I100" s="124"/>
      <c r="J100" s="124"/>
      <c r="L100" s="113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</row>
    <row r="101" spans="1:23" ht="15" customHeight="1" x14ac:dyDescent="0.2">
      <c r="A101" s="47" t="s">
        <v>1</v>
      </c>
      <c r="B101" s="38"/>
      <c r="C101" s="125">
        <f>L91</f>
        <v>51</v>
      </c>
      <c r="D101" s="126">
        <f>L92</f>
        <v>16</v>
      </c>
      <c r="E101" s="127">
        <f>L93</f>
        <v>20</v>
      </c>
      <c r="F101" s="128">
        <f>SUM(C101:D101)</f>
        <v>67</v>
      </c>
      <c r="G101" s="44">
        <f>100%-(D101*100/C101/100)</f>
        <v>0.68627450980392157</v>
      </c>
      <c r="H101" s="129"/>
      <c r="I101" s="129"/>
      <c r="J101" s="129"/>
      <c r="L101" s="113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</row>
    <row r="102" spans="1:23" ht="15" customHeight="1" thickBot="1" x14ac:dyDescent="0.25">
      <c r="A102" s="48" t="s">
        <v>2</v>
      </c>
      <c r="B102" s="45"/>
      <c r="C102" s="125">
        <f>M91</f>
        <v>24</v>
      </c>
      <c r="D102" s="126">
        <f>M92</f>
        <v>3</v>
      </c>
      <c r="E102" s="127">
        <f>M93</f>
        <v>59</v>
      </c>
      <c r="F102" s="128">
        <f>SUM(C102:D102)</f>
        <v>27</v>
      </c>
      <c r="G102" s="44">
        <f>100%-(D102*100/C102/100)</f>
        <v>0.875</v>
      </c>
      <c r="H102" s="129"/>
      <c r="I102" s="129"/>
      <c r="J102" s="129"/>
      <c r="L102" s="130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</row>
    <row r="103" spans="1:23" x14ac:dyDescent="0.2">
      <c r="A103" s="47" t="s">
        <v>179</v>
      </c>
      <c r="B103" s="38"/>
      <c r="C103" s="125">
        <f>N91</f>
        <v>29</v>
      </c>
      <c r="D103" s="126">
        <f>N92</f>
        <v>3</v>
      </c>
      <c r="E103" s="127">
        <f>N93</f>
        <v>54</v>
      </c>
      <c r="F103" s="128">
        <f>SUM(C103:D103)</f>
        <v>32</v>
      </c>
      <c r="G103" s="44">
        <f>100%-(D103*100/C103/100)</f>
        <v>0.89655172413793105</v>
      </c>
      <c r="H103" s="129"/>
      <c r="I103" s="129"/>
      <c r="J103" s="129"/>
    </row>
    <row r="104" spans="1:23" x14ac:dyDescent="0.2">
      <c r="A104" s="48" t="s">
        <v>180</v>
      </c>
      <c r="B104" s="45"/>
      <c r="C104" s="125">
        <f>O91</f>
        <v>33</v>
      </c>
      <c r="D104" s="126">
        <f>O92</f>
        <v>11</v>
      </c>
      <c r="E104" s="127">
        <f>O93</f>
        <v>43</v>
      </c>
      <c r="F104" s="128">
        <f>SUM(C104:D104)</f>
        <v>44</v>
      </c>
      <c r="G104" s="44">
        <f t="shared" ref="G104:G112" si="4">100%-(D104*100/C104/100)</f>
        <v>0.66666666666666663</v>
      </c>
      <c r="H104" s="129"/>
      <c r="I104" s="129"/>
      <c r="J104" s="129"/>
    </row>
    <row r="105" spans="1:23" x14ac:dyDescent="0.2">
      <c r="A105" s="48" t="s">
        <v>5</v>
      </c>
      <c r="B105" s="45"/>
      <c r="C105" s="125">
        <f>P91</f>
        <v>46</v>
      </c>
      <c r="D105" s="126">
        <f>P92</f>
        <v>2</v>
      </c>
      <c r="E105" s="127">
        <f>P93</f>
        <v>39</v>
      </c>
      <c r="F105" s="128">
        <f>SUM(C105:D105)</f>
        <v>48</v>
      </c>
      <c r="G105" s="44">
        <f>100%-(D105*100/C105/100)</f>
        <v>0.95652173913043481</v>
      </c>
      <c r="H105" s="129"/>
      <c r="I105" s="129"/>
      <c r="J105" s="129"/>
    </row>
    <row r="106" spans="1:23" x14ac:dyDescent="0.2">
      <c r="A106" s="47" t="s">
        <v>6</v>
      </c>
      <c r="B106" s="38"/>
      <c r="C106" s="125">
        <f>Q91</f>
        <v>38</v>
      </c>
      <c r="D106" s="126">
        <f>Q92</f>
        <v>6</v>
      </c>
      <c r="E106" s="127">
        <f>Q93</f>
        <v>43</v>
      </c>
      <c r="F106" s="128">
        <f t="shared" ref="F106:F112" si="5">SUM(C106:D106)</f>
        <v>44</v>
      </c>
      <c r="G106" s="44">
        <f t="shared" si="4"/>
        <v>0.84210526315789469</v>
      </c>
      <c r="H106" s="129"/>
      <c r="I106" s="129"/>
      <c r="J106" s="129"/>
    </row>
    <row r="107" spans="1:23" x14ac:dyDescent="0.2">
      <c r="A107" s="48" t="s">
        <v>7</v>
      </c>
      <c r="B107" s="45"/>
      <c r="C107" s="125">
        <f>R91</f>
        <v>34</v>
      </c>
      <c r="D107" s="126">
        <f>R92</f>
        <v>1</v>
      </c>
      <c r="E107" s="127">
        <f>R93</f>
        <v>52</v>
      </c>
      <c r="F107" s="128">
        <f t="shared" si="5"/>
        <v>35</v>
      </c>
      <c r="G107" s="44">
        <f t="shared" si="4"/>
        <v>0.97058823529411764</v>
      </c>
      <c r="H107" s="129"/>
      <c r="I107" s="129"/>
      <c r="J107" s="129"/>
    </row>
    <row r="108" spans="1:23" x14ac:dyDescent="0.2">
      <c r="A108" s="47" t="s">
        <v>8</v>
      </c>
      <c r="B108" s="38"/>
      <c r="C108" s="125">
        <f>S91</f>
        <v>35</v>
      </c>
      <c r="D108" s="126">
        <f>S92</f>
        <v>7</v>
      </c>
      <c r="E108" s="127">
        <f>S93</f>
        <v>44</v>
      </c>
      <c r="F108" s="128">
        <f t="shared" si="5"/>
        <v>42</v>
      </c>
      <c r="G108" s="44">
        <f t="shared" si="4"/>
        <v>0.8</v>
      </c>
      <c r="H108" s="129"/>
      <c r="I108" s="129"/>
      <c r="J108" s="129"/>
    </row>
    <row r="109" spans="1:23" x14ac:dyDescent="0.2">
      <c r="A109" s="48" t="s">
        <v>9</v>
      </c>
      <c r="B109" s="45"/>
      <c r="C109" s="125">
        <f>T91</f>
        <v>33</v>
      </c>
      <c r="D109" s="126">
        <f>T92</f>
        <v>2</v>
      </c>
      <c r="E109" s="127">
        <f>T93</f>
        <v>52</v>
      </c>
      <c r="F109" s="128">
        <f t="shared" si="5"/>
        <v>35</v>
      </c>
      <c r="G109" s="44">
        <f t="shared" si="4"/>
        <v>0.93939393939393945</v>
      </c>
      <c r="H109" s="129"/>
      <c r="I109" s="129"/>
      <c r="J109" s="129"/>
    </row>
    <row r="110" spans="1:23" x14ac:dyDescent="0.2">
      <c r="A110" s="47" t="s">
        <v>181</v>
      </c>
      <c r="B110" s="38"/>
      <c r="C110" s="125">
        <f>U91</f>
        <v>55</v>
      </c>
      <c r="D110" s="126">
        <f>U92</f>
        <v>5</v>
      </c>
      <c r="E110" s="127">
        <f>U93</f>
        <v>27</v>
      </c>
      <c r="F110" s="128">
        <f t="shared" si="5"/>
        <v>60</v>
      </c>
      <c r="G110" s="44">
        <f t="shared" si="4"/>
        <v>0.90909090909090906</v>
      </c>
      <c r="H110" s="129"/>
      <c r="I110" s="129"/>
      <c r="J110" s="129"/>
    </row>
    <row r="111" spans="1:23" x14ac:dyDescent="0.2">
      <c r="A111" s="48" t="s">
        <v>11</v>
      </c>
      <c r="B111" s="45"/>
      <c r="C111" s="125">
        <f>V91</f>
        <v>34</v>
      </c>
      <c r="D111" s="126">
        <f>V92</f>
        <v>5</v>
      </c>
      <c r="E111" s="127">
        <f>V93</f>
        <v>48</v>
      </c>
      <c r="F111" s="128">
        <f t="shared" si="5"/>
        <v>39</v>
      </c>
      <c r="G111" s="44">
        <f t="shared" si="4"/>
        <v>0.8529411764705882</v>
      </c>
      <c r="H111" s="129"/>
      <c r="I111" s="129"/>
      <c r="J111" s="129"/>
    </row>
    <row r="112" spans="1:23" x14ac:dyDescent="0.2">
      <c r="A112" s="47" t="s">
        <v>12</v>
      </c>
      <c r="B112" s="38"/>
      <c r="C112" s="125">
        <f>W91</f>
        <v>25</v>
      </c>
      <c r="D112" s="126">
        <f>W92</f>
        <v>3</v>
      </c>
      <c r="E112" s="127">
        <f>W93</f>
        <v>59</v>
      </c>
      <c r="F112" s="128">
        <f t="shared" si="5"/>
        <v>28</v>
      </c>
      <c r="G112" s="44">
        <f t="shared" si="4"/>
        <v>0.88</v>
      </c>
      <c r="H112" s="129"/>
      <c r="I112" s="129"/>
      <c r="J112" s="129"/>
    </row>
    <row r="113" spans="1:10" ht="16.5" thickBot="1" x14ac:dyDescent="0.25">
      <c r="A113" s="2"/>
      <c r="C113" s="132">
        <f>SUM(C101:C112)</f>
        <v>437</v>
      </c>
      <c r="D113" s="133">
        <f>SUM(D101:D112)</f>
        <v>64</v>
      </c>
      <c r="E113" s="134">
        <f>SUM(E101:E112)</f>
        <v>540</v>
      </c>
      <c r="F113" s="135">
        <f>SUM(F101:F112)</f>
        <v>501</v>
      </c>
      <c r="G113" s="136">
        <f>100%-(D113*100/C113/100)</f>
        <v>0.85354691075514877</v>
      </c>
      <c r="I113" s="137"/>
      <c r="J113" s="137"/>
    </row>
    <row r="115" spans="1:10" x14ac:dyDescent="0.2">
      <c r="G115" s="21"/>
    </row>
  </sheetData>
  <sheetProtection selectLockedCells="1"/>
  <mergeCells count="205">
    <mergeCell ref="A109:B109"/>
    <mergeCell ref="A110:B110"/>
    <mergeCell ref="A111:B111"/>
    <mergeCell ref="A112:B112"/>
    <mergeCell ref="A103:B103"/>
    <mergeCell ref="A104:B104"/>
    <mergeCell ref="A105:B105"/>
    <mergeCell ref="A106:B106"/>
    <mergeCell ref="A107:B107"/>
    <mergeCell ref="A108:B108"/>
    <mergeCell ref="A90:W90"/>
    <mergeCell ref="L96:W102"/>
    <mergeCell ref="A99:B100"/>
    <mergeCell ref="C99:F99"/>
    <mergeCell ref="A101:B101"/>
    <mergeCell ref="A102:B102"/>
    <mergeCell ref="B87:C87"/>
    <mergeCell ref="D87:K87"/>
    <mergeCell ref="B88:C88"/>
    <mergeCell ref="D88:K88"/>
    <mergeCell ref="B89:C89"/>
    <mergeCell ref="D89:K89"/>
    <mergeCell ref="B84:C84"/>
    <mergeCell ref="D84:K84"/>
    <mergeCell ref="B85:C85"/>
    <mergeCell ref="D85:K85"/>
    <mergeCell ref="B86:C86"/>
    <mergeCell ref="D86:K86"/>
    <mergeCell ref="B81:C81"/>
    <mergeCell ref="D81:K81"/>
    <mergeCell ref="B82:C82"/>
    <mergeCell ref="D82:K82"/>
    <mergeCell ref="B83:C83"/>
    <mergeCell ref="D83:K83"/>
    <mergeCell ref="B78:C78"/>
    <mergeCell ref="D78:K78"/>
    <mergeCell ref="B79:C79"/>
    <mergeCell ref="D79:K79"/>
    <mergeCell ref="B80:C80"/>
    <mergeCell ref="D80:K80"/>
    <mergeCell ref="B75:C75"/>
    <mergeCell ref="D75:K75"/>
    <mergeCell ref="B76:C76"/>
    <mergeCell ref="D76:K76"/>
    <mergeCell ref="B77:C77"/>
    <mergeCell ref="D77:K77"/>
    <mergeCell ref="B72:C72"/>
    <mergeCell ref="D72:K72"/>
    <mergeCell ref="B73:C73"/>
    <mergeCell ref="D73:K73"/>
    <mergeCell ref="B74:C74"/>
    <mergeCell ref="D74:K74"/>
    <mergeCell ref="B69:C69"/>
    <mergeCell ref="D69:K69"/>
    <mergeCell ref="B70:C70"/>
    <mergeCell ref="D70:K70"/>
    <mergeCell ref="B71:C71"/>
    <mergeCell ref="D71:K71"/>
    <mergeCell ref="B66:C66"/>
    <mergeCell ref="D66:K66"/>
    <mergeCell ref="B67:C67"/>
    <mergeCell ref="D67:K67"/>
    <mergeCell ref="B68:C68"/>
    <mergeCell ref="D68:K68"/>
    <mergeCell ref="B63:C63"/>
    <mergeCell ref="D63:K63"/>
    <mergeCell ref="B64:C64"/>
    <mergeCell ref="D64:K64"/>
    <mergeCell ref="B65:C65"/>
    <mergeCell ref="D65:K65"/>
    <mergeCell ref="B60:C60"/>
    <mergeCell ref="D60:K60"/>
    <mergeCell ref="B61:C61"/>
    <mergeCell ref="D61:K61"/>
    <mergeCell ref="B62:C62"/>
    <mergeCell ref="D62:K62"/>
    <mergeCell ref="B57:C57"/>
    <mergeCell ref="D57:K57"/>
    <mergeCell ref="B58:C58"/>
    <mergeCell ref="D58:K58"/>
    <mergeCell ref="B59:C59"/>
    <mergeCell ref="D59:K59"/>
    <mergeCell ref="B54:C54"/>
    <mergeCell ref="D54:K54"/>
    <mergeCell ref="B55:C55"/>
    <mergeCell ref="D55:K55"/>
    <mergeCell ref="B56:C56"/>
    <mergeCell ref="D56:K56"/>
    <mergeCell ref="B51:C51"/>
    <mergeCell ref="D51:K51"/>
    <mergeCell ref="B52:C52"/>
    <mergeCell ref="D52:K52"/>
    <mergeCell ref="B53:C53"/>
    <mergeCell ref="D53:K53"/>
    <mergeCell ref="B48:C48"/>
    <mergeCell ref="D48:K48"/>
    <mergeCell ref="B49:C49"/>
    <mergeCell ref="D49:K49"/>
    <mergeCell ref="B50:C50"/>
    <mergeCell ref="D50:K50"/>
    <mergeCell ref="B45:C45"/>
    <mergeCell ref="D45:K45"/>
    <mergeCell ref="B46:C46"/>
    <mergeCell ref="D46:K46"/>
    <mergeCell ref="B47:C47"/>
    <mergeCell ref="D47:K47"/>
    <mergeCell ref="B42:C42"/>
    <mergeCell ref="D42:K42"/>
    <mergeCell ref="B43:C43"/>
    <mergeCell ref="D43:K43"/>
    <mergeCell ref="B44:C44"/>
    <mergeCell ref="D44:K44"/>
    <mergeCell ref="B39:C39"/>
    <mergeCell ref="D39:K39"/>
    <mergeCell ref="B40:C40"/>
    <mergeCell ref="D40:K40"/>
    <mergeCell ref="B41:C41"/>
    <mergeCell ref="D41:K41"/>
    <mergeCell ref="B36:C36"/>
    <mergeCell ref="D36:K36"/>
    <mergeCell ref="B37:C37"/>
    <mergeCell ref="D37:K37"/>
    <mergeCell ref="B38:C38"/>
    <mergeCell ref="D38:K38"/>
    <mergeCell ref="B33:C33"/>
    <mergeCell ref="D33:K33"/>
    <mergeCell ref="B34:C34"/>
    <mergeCell ref="D34:K34"/>
    <mergeCell ref="B35:C35"/>
    <mergeCell ref="D35:K35"/>
    <mergeCell ref="B30:C30"/>
    <mergeCell ref="D30:K30"/>
    <mergeCell ref="B31:C31"/>
    <mergeCell ref="D31:K31"/>
    <mergeCell ref="B32:C32"/>
    <mergeCell ref="D32:K32"/>
    <mergeCell ref="B27:C27"/>
    <mergeCell ref="D27:K27"/>
    <mergeCell ref="B28:C28"/>
    <mergeCell ref="D28:K28"/>
    <mergeCell ref="B29:C29"/>
    <mergeCell ref="D29:K29"/>
    <mergeCell ref="B24:C24"/>
    <mergeCell ref="D24:K24"/>
    <mergeCell ref="B25:C25"/>
    <mergeCell ref="D25:K25"/>
    <mergeCell ref="B26:C26"/>
    <mergeCell ref="D26:K26"/>
    <mergeCell ref="B21:C21"/>
    <mergeCell ref="D21:K21"/>
    <mergeCell ref="B22:C22"/>
    <mergeCell ref="D22:K22"/>
    <mergeCell ref="B23:C23"/>
    <mergeCell ref="D23:K23"/>
    <mergeCell ref="B18:C18"/>
    <mergeCell ref="D18:K18"/>
    <mergeCell ref="B19:C19"/>
    <mergeCell ref="D19:K19"/>
    <mergeCell ref="B20:C20"/>
    <mergeCell ref="D20:K20"/>
    <mergeCell ref="B15:C15"/>
    <mergeCell ref="D15:K15"/>
    <mergeCell ref="B16:C16"/>
    <mergeCell ref="D16:K16"/>
    <mergeCell ref="B17:C17"/>
    <mergeCell ref="D17:K17"/>
    <mergeCell ref="B12:C12"/>
    <mergeCell ref="D12:K12"/>
    <mergeCell ref="B13:C13"/>
    <mergeCell ref="D13:K13"/>
    <mergeCell ref="B14:C14"/>
    <mergeCell ref="D14:K14"/>
    <mergeCell ref="B9:C9"/>
    <mergeCell ref="D9:K9"/>
    <mergeCell ref="B10:C10"/>
    <mergeCell ref="D10:K10"/>
    <mergeCell ref="B11:C11"/>
    <mergeCell ref="D11:K11"/>
    <mergeCell ref="B6:C6"/>
    <mergeCell ref="D6:K6"/>
    <mergeCell ref="B7:C7"/>
    <mergeCell ref="D7:K7"/>
    <mergeCell ref="B8:C8"/>
    <mergeCell ref="D8:K8"/>
    <mergeCell ref="B3:C3"/>
    <mergeCell ref="D3:K3"/>
    <mergeCell ref="B4:C4"/>
    <mergeCell ref="D4:K4"/>
    <mergeCell ref="B5:C5"/>
    <mergeCell ref="D5:K5"/>
    <mergeCell ref="S1:S2"/>
    <mergeCell ref="T1:T2"/>
    <mergeCell ref="U1:U2"/>
    <mergeCell ref="V1:V2"/>
    <mergeCell ref="W1:W2"/>
    <mergeCell ref="B2:C2"/>
    <mergeCell ref="D2:K2"/>
    <mergeCell ref="D1:K1"/>
    <mergeCell ref="L1:L2"/>
    <mergeCell ref="M1:M2"/>
    <mergeCell ref="N1:N2"/>
    <mergeCell ref="O1:O2"/>
    <mergeCell ref="P1:P2"/>
    <mergeCell ref="Q1:Q2"/>
    <mergeCell ref="R1:R2"/>
  </mergeCells>
  <conditionalFormatting sqref="M9:W16 M68:W68 U69:U71 M37:W39 L17:W36 M55:W56 S41:W41 L40:W40 L42:W54 L59:W67 L72:W89">
    <cfRule type="containsText" dxfId="62" priority="61" stopIfTrue="1" operator="containsText" text="NA">
      <formula>NOT(ISERROR(SEARCH("NA",L9)))</formula>
    </cfRule>
    <cfRule type="containsText" dxfId="61" priority="62" stopIfTrue="1" operator="containsText" text="N">
      <formula>NOT(ISERROR(SEARCH("N",L9)))</formula>
    </cfRule>
    <cfRule type="containsText" dxfId="60" priority="63" stopIfTrue="1" operator="containsText" text="s">
      <formula>NOT(ISERROR(SEARCH("s",L9)))</formula>
    </cfRule>
  </conditionalFormatting>
  <conditionalFormatting sqref="M57 R57 V57">
    <cfRule type="containsText" dxfId="59" priority="58" stopIfTrue="1" operator="containsText" text="NA">
      <formula>NOT(ISERROR(SEARCH("NA",M57)))</formula>
    </cfRule>
    <cfRule type="containsText" dxfId="58" priority="59" stopIfTrue="1" operator="containsText" text="N">
      <formula>NOT(ISERROR(SEARCH("N",M57)))</formula>
    </cfRule>
    <cfRule type="containsText" dxfId="57" priority="60" stopIfTrue="1" operator="containsText" text="s">
      <formula>NOT(ISERROR(SEARCH("s",M57)))</formula>
    </cfRule>
  </conditionalFormatting>
  <conditionalFormatting sqref="T57:U57">
    <cfRule type="containsText" dxfId="56" priority="55" stopIfTrue="1" operator="containsText" text="NA">
      <formula>NOT(ISERROR(SEARCH("NA",T57)))</formula>
    </cfRule>
    <cfRule type="containsText" dxfId="55" priority="56" stopIfTrue="1" operator="containsText" text="N">
      <formula>NOT(ISERROR(SEARCH("N",T57)))</formula>
    </cfRule>
    <cfRule type="containsText" dxfId="54" priority="57" stopIfTrue="1" operator="containsText" text="s">
      <formula>NOT(ISERROR(SEARCH("s",T57)))</formula>
    </cfRule>
  </conditionalFormatting>
  <conditionalFormatting sqref="N57">
    <cfRule type="containsText" dxfId="53" priority="52" stopIfTrue="1" operator="containsText" text="NA">
      <formula>NOT(ISERROR(SEARCH("NA",N57)))</formula>
    </cfRule>
    <cfRule type="containsText" dxfId="52" priority="53" stopIfTrue="1" operator="containsText" text="N">
      <formula>NOT(ISERROR(SEARCH("N",N57)))</formula>
    </cfRule>
    <cfRule type="containsText" dxfId="51" priority="54" stopIfTrue="1" operator="containsText" text="s">
      <formula>NOT(ISERROR(SEARCH("s",N57)))</formula>
    </cfRule>
  </conditionalFormatting>
  <conditionalFormatting sqref="L10:W10 M9:W9">
    <cfRule type="containsText" dxfId="50" priority="49" stopIfTrue="1" operator="containsText" text="NA">
      <formula>NOT(ISERROR(SEARCH("NA",L9)))</formula>
    </cfRule>
    <cfRule type="containsText" dxfId="49" priority="50" stopIfTrue="1" operator="containsText" text="N">
      <formula>NOT(ISERROR(SEARCH("N",L9)))</formula>
    </cfRule>
    <cfRule type="containsText" dxfId="48" priority="51" stopIfTrue="1" operator="containsText" text="s">
      <formula>NOT(ISERROR(SEARCH("s",L9)))</formula>
    </cfRule>
  </conditionalFormatting>
  <conditionalFormatting sqref="L11:L16 L58:W58 L69:T70 V69:W70 L37:L39 L55:L56 L68">
    <cfRule type="containsText" dxfId="47" priority="46" stopIfTrue="1" operator="containsText" text="NA">
      <formula>NOT(ISERROR(SEARCH("NA",L11)))</formula>
    </cfRule>
    <cfRule type="containsText" dxfId="46" priority="47" stopIfTrue="1" operator="containsText" text="N">
      <formula>NOT(ISERROR(SEARCH("N",L11)))</formula>
    </cfRule>
    <cfRule type="containsText" dxfId="45" priority="48" stopIfTrue="1" operator="containsText" text="s">
      <formula>NOT(ISERROR(SEARCH("s",L11)))</formula>
    </cfRule>
  </conditionalFormatting>
  <conditionalFormatting sqref="O11">
    <cfRule type="containsText" dxfId="44" priority="37" stopIfTrue="1" operator="containsText" text="NA">
      <formula>NOT(ISERROR(SEARCH("NA",O11)))</formula>
    </cfRule>
    <cfRule type="containsText" dxfId="43" priority="38" stopIfTrue="1" operator="containsText" text="N">
      <formula>NOT(ISERROR(SEARCH("N",O11)))</formula>
    </cfRule>
    <cfRule type="containsText" dxfId="42" priority="39" stopIfTrue="1" operator="containsText" text="s">
      <formula>NOT(ISERROR(SEARCH("s",O11)))</formula>
    </cfRule>
  </conditionalFormatting>
  <conditionalFormatting sqref="L71:T71 V71:W71">
    <cfRule type="containsText" dxfId="41" priority="43" stopIfTrue="1" operator="containsText" text="NA">
      <formula>NOT(ISERROR(SEARCH("NA",L71)))</formula>
    </cfRule>
    <cfRule type="containsText" dxfId="40" priority="44" stopIfTrue="1" operator="containsText" text="N">
      <formula>NOT(ISERROR(SEARCH("N",L71)))</formula>
    </cfRule>
    <cfRule type="containsText" dxfId="39" priority="45" stopIfTrue="1" operator="containsText" text="s">
      <formula>NOT(ISERROR(SEARCH("s",L71)))</formula>
    </cfRule>
  </conditionalFormatting>
  <conditionalFormatting sqref="L9">
    <cfRule type="containsText" dxfId="38" priority="40" stopIfTrue="1" operator="containsText" text="NA">
      <formula>NOT(ISERROR(SEARCH("NA",L9)))</formula>
    </cfRule>
    <cfRule type="containsText" dxfId="37" priority="41" stopIfTrue="1" operator="containsText" text="N">
      <formula>NOT(ISERROR(SEARCH("N",L9)))</formula>
    </cfRule>
    <cfRule type="containsText" dxfId="36" priority="42" stopIfTrue="1" operator="containsText" text="s">
      <formula>NOT(ISERROR(SEARCH("s",L9)))</formula>
    </cfRule>
  </conditionalFormatting>
  <conditionalFormatting sqref="L57">
    <cfRule type="containsText" dxfId="35" priority="34" stopIfTrue="1" operator="containsText" text="NA">
      <formula>NOT(ISERROR(SEARCH("NA",L57)))</formula>
    </cfRule>
    <cfRule type="containsText" dxfId="34" priority="35" stopIfTrue="1" operator="containsText" text="N">
      <formula>NOT(ISERROR(SEARCH("N",L57)))</formula>
    </cfRule>
    <cfRule type="containsText" dxfId="33" priority="36" stopIfTrue="1" operator="containsText" text="s">
      <formula>NOT(ISERROR(SEARCH("s",L57)))</formula>
    </cfRule>
  </conditionalFormatting>
  <conditionalFormatting sqref="O57:Q57">
    <cfRule type="containsText" dxfId="32" priority="31" stopIfTrue="1" operator="containsText" text="NA">
      <formula>NOT(ISERROR(SEARCH("NA",O57)))</formula>
    </cfRule>
    <cfRule type="containsText" dxfId="31" priority="32" stopIfTrue="1" operator="containsText" text="N">
      <formula>NOT(ISERROR(SEARCH("N",O57)))</formula>
    </cfRule>
    <cfRule type="containsText" dxfId="30" priority="33" stopIfTrue="1" operator="containsText" text="s">
      <formula>NOT(ISERROR(SEARCH("s",O57)))</formula>
    </cfRule>
  </conditionalFormatting>
  <conditionalFormatting sqref="S57">
    <cfRule type="containsText" dxfId="29" priority="28" stopIfTrue="1" operator="containsText" text="NA">
      <formula>NOT(ISERROR(SEARCH("NA",S57)))</formula>
    </cfRule>
    <cfRule type="containsText" dxfId="28" priority="29" stopIfTrue="1" operator="containsText" text="N">
      <formula>NOT(ISERROR(SEARCH("N",S57)))</formula>
    </cfRule>
    <cfRule type="containsText" dxfId="27" priority="30" stopIfTrue="1" operator="containsText" text="s">
      <formula>NOT(ISERROR(SEARCH("s",S57)))</formula>
    </cfRule>
  </conditionalFormatting>
  <conditionalFormatting sqref="W57">
    <cfRule type="containsText" dxfId="26" priority="25" stopIfTrue="1" operator="containsText" text="NA">
      <formula>NOT(ISERROR(SEARCH("NA",W57)))</formula>
    </cfRule>
    <cfRule type="containsText" dxfId="25" priority="26" stopIfTrue="1" operator="containsText" text="N">
      <formula>NOT(ISERROR(SEARCH("N",W57)))</formula>
    </cfRule>
    <cfRule type="containsText" dxfId="24" priority="27" stopIfTrue="1" operator="containsText" text="s">
      <formula>NOT(ISERROR(SEARCH("s",W57)))</formula>
    </cfRule>
  </conditionalFormatting>
  <conditionalFormatting sqref="L3:L5 L7">
    <cfRule type="containsText" dxfId="23" priority="22" stopIfTrue="1" operator="containsText" text="NA">
      <formula>NOT(ISERROR(SEARCH("NA",L3)))</formula>
    </cfRule>
    <cfRule type="containsText" dxfId="22" priority="23" stopIfTrue="1" operator="containsText" text="N">
      <formula>NOT(ISERROR(SEARCH("N",L3)))</formula>
    </cfRule>
    <cfRule type="containsText" dxfId="21" priority="24" stopIfTrue="1" operator="containsText" text="s">
      <formula>NOT(ISERROR(SEARCH("s",L3)))</formula>
    </cfRule>
  </conditionalFormatting>
  <conditionalFormatting sqref="M7:W7">
    <cfRule type="containsText" dxfId="20" priority="19" stopIfTrue="1" operator="containsText" text="NA">
      <formula>NOT(ISERROR(SEARCH("NA",M7)))</formula>
    </cfRule>
    <cfRule type="containsText" dxfId="19" priority="20" stopIfTrue="1" operator="containsText" text="N">
      <formula>NOT(ISERROR(SEARCH("N",M7)))</formula>
    </cfRule>
    <cfRule type="containsText" dxfId="18" priority="21" stopIfTrue="1" operator="containsText" text="s">
      <formula>NOT(ISERROR(SEARCH("s",M7)))</formula>
    </cfRule>
  </conditionalFormatting>
  <conditionalFormatting sqref="M4:W4">
    <cfRule type="containsText" dxfId="17" priority="16" stopIfTrue="1" operator="containsText" text="NA">
      <formula>NOT(ISERROR(SEARCH("NA",M4)))</formula>
    </cfRule>
    <cfRule type="containsText" dxfId="16" priority="17" stopIfTrue="1" operator="containsText" text="N">
      <formula>NOT(ISERROR(SEARCH("N",M4)))</formula>
    </cfRule>
    <cfRule type="containsText" dxfId="15" priority="18" stopIfTrue="1" operator="containsText" text="s">
      <formula>NOT(ISERROR(SEARCH("s",M4)))</formula>
    </cfRule>
  </conditionalFormatting>
  <conditionalFormatting sqref="M3:W3">
    <cfRule type="containsText" dxfId="14" priority="13" stopIfTrue="1" operator="containsText" text="NA">
      <formula>NOT(ISERROR(SEARCH("NA",M3)))</formula>
    </cfRule>
    <cfRule type="containsText" dxfId="13" priority="14" stopIfTrue="1" operator="containsText" text="N">
      <formula>NOT(ISERROR(SEARCH("N",M3)))</formula>
    </cfRule>
    <cfRule type="containsText" dxfId="12" priority="15" stopIfTrue="1" operator="containsText" text="s">
      <formula>NOT(ISERROR(SEARCH("s",M3)))</formula>
    </cfRule>
  </conditionalFormatting>
  <conditionalFormatting sqref="M5:W5">
    <cfRule type="containsText" dxfId="11" priority="10" stopIfTrue="1" operator="containsText" text="NA">
      <formula>NOT(ISERROR(SEARCH("NA",M5)))</formula>
    </cfRule>
    <cfRule type="containsText" dxfId="10" priority="11" stopIfTrue="1" operator="containsText" text="N">
      <formula>NOT(ISERROR(SEARCH("N",M5)))</formula>
    </cfRule>
    <cfRule type="containsText" dxfId="9" priority="12" stopIfTrue="1" operator="containsText" text="s">
      <formula>NOT(ISERROR(SEARCH("s",M5)))</formula>
    </cfRule>
  </conditionalFormatting>
  <conditionalFormatting sqref="L6:W6">
    <cfRule type="containsText" dxfId="8" priority="7" stopIfTrue="1" operator="containsText" text="NA">
      <formula>NOT(ISERROR(SEARCH("NA",L6)))</formula>
    </cfRule>
    <cfRule type="containsText" dxfId="7" priority="8" stopIfTrue="1" operator="containsText" text="N">
      <formula>NOT(ISERROR(SEARCH("N",L6)))</formula>
    </cfRule>
    <cfRule type="containsText" dxfId="6" priority="9" stopIfTrue="1" operator="containsText" text="s">
      <formula>NOT(ISERROR(SEARCH("s",L6)))</formula>
    </cfRule>
  </conditionalFormatting>
  <conditionalFormatting sqref="L8:W8">
    <cfRule type="containsText" dxfId="5" priority="4" stopIfTrue="1" operator="containsText" text="NA">
      <formula>NOT(ISERROR(SEARCH("NA",L8)))</formula>
    </cfRule>
    <cfRule type="containsText" dxfId="4" priority="5" stopIfTrue="1" operator="containsText" text="N">
      <formula>NOT(ISERROR(SEARCH("N",L8)))</formula>
    </cfRule>
    <cfRule type="containsText" dxfId="3" priority="6" stopIfTrue="1" operator="containsText" text="s">
      <formula>NOT(ISERROR(SEARCH("s",L8)))</formula>
    </cfRule>
  </conditionalFormatting>
  <conditionalFormatting sqref="L41:R41">
    <cfRule type="containsText" dxfId="2" priority="1" stopIfTrue="1" operator="containsText" text="NA">
      <formula>NOT(ISERROR(SEARCH("NA",L41)))</formula>
    </cfRule>
    <cfRule type="containsText" dxfId="1" priority="2" stopIfTrue="1" operator="containsText" text="N">
      <formula>NOT(ISERROR(SEARCH("N",L41)))</formula>
    </cfRule>
    <cfRule type="containsText" dxfId="0" priority="3" stopIfTrue="1" operator="containsText" text="s">
      <formula>NOT(ISERROR(SEARCH("s",L41)))</formula>
    </cfRule>
  </conditionalFormatting>
  <printOptions horizontalCentered="1"/>
  <pageMargins left="0.25" right="0.25" top="0.75" bottom="0.75" header="0.3" footer="0.3"/>
  <pageSetup paperSize="9" scale="57" fitToHeight="0" orientation="portrait" horizontalDpi="4294967293" r:id="rId1"/>
  <headerFooter alignWithMargins="0">
    <oddHeader>&amp;RPág.&amp;P/2</oddHeader>
    <oddFooter>&amp;LRQ-046 - Rev 5 - Jun/16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AUDITORIA MA</vt:lpstr>
      <vt:lpstr>AUDITORIA ST</vt:lpstr>
      <vt:lpstr>'AUDITORIA MA'!Area_de_impressao</vt:lpstr>
      <vt:lpstr>'AUDITORIA ST'!Area_de_impressao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Sousa</dc:creator>
  <cp:lastModifiedBy>Jefferson Sousa</cp:lastModifiedBy>
  <dcterms:created xsi:type="dcterms:W3CDTF">2026-07-15T13:11:06Z</dcterms:created>
  <dcterms:modified xsi:type="dcterms:W3CDTF">2026-07-15T13:12:07Z</dcterms:modified>
</cp:coreProperties>
</file>